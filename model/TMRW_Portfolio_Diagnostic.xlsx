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rand Financials" sheetId="2" state="visible" r:id="rId4"/>
    <sheet name="2x2 Scoring" sheetId="3" state="visible" r:id="rId5"/>
    <sheet name="Recommendation Model" sheetId="4" state="visible" r:id="rId6"/>
    <sheet name="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<sst xmlns="http://schemas.openxmlformats.org/spreadsheetml/2006/main" count="90" uniqueCount="76">
  <si>
    <t xml:space="preserve">TMRW House of Brands — Portfolio Profitability Diagnostic</t>
  </si>
  <si>
    <t xml:space="preserve">Business Analyst case study | FY25 (year ended 31 Mar 2025) brand-level financials, sourced from RoC filings</t>
  </si>
  <si>
    <t xml:space="preserve">The Problem</t>
  </si>
  <si>
    <t xml:space="preserve">TMRW's brands are growing fast — Q1 FY26 revenue was up 38% YoY to Rs 197 Cr — but EBITDA losses grew even faster (Rs 63 Cr vs Rs 46 Cr a year ago). Every brand is chasing growth through discounts, ad spend and new stores, but not every brand is worth scaling at the same intensity. This model classifies TMRW's four disclosed D2C brands by growth vs. profitability trend, and models one reallocation scenario to show the path to portfolio breakeven.</t>
  </si>
  <si>
    <t xml:space="preserve">Portfolio 2x2: Growth vs. Profitability Trend (FY25 vs FY24)</t>
  </si>
  <si>
    <t xml:space="preserve">Brand</t>
  </si>
  <si>
    <t xml:space="preserve">Revenue Growth YoY</t>
  </si>
  <si>
    <t xml:space="preserve">EBITDA Margin (FY25)</t>
  </si>
  <si>
    <t xml:space="preserve">Net Loss Trend YoY</t>
  </si>
  <si>
    <t xml:space="preserve">Classification</t>
  </si>
  <si>
    <t xml:space="preserve">The Indian Garage Co (TIGC)</t>
  </si>
  <si>
    <t xml:space="preserve">Scale</t>
  </si>
  <si>
    <t xml:space="preserve">Bewakoof</t>
  </si>
  <si>
    <t xml:space="preserve">Fix</t>
  </si>
  <si>
    <t xml:space="preserve">Wrogn</t>
  </si>
  <si>
    <t xml:space="preserve">Cut / Harvest</t>
  </si>
  <si>
    <t xml:space="preserve">Nobero*</t>
  </si>
  <si>
    <t xml:space="preserve">n/a (unofficial est. only)</t>
  </si>
  <si>
    <t xml:space="preserve">n/a</t>
  </si>
  <si>
    <t xml:space="preserve">Watch (data-limited)</t>
  </si>
  <si>
    <t xml:space="preserve">*Nobero has no RoC-filed FY25 statement publicly available yet. Third-party e-commerce trackers estimate ~$60M (~Rs 500 Cr) GMV in 2025, growing 75-80% YoY - GMV is not comparable to the other brands' audited operating revenue, so it is excluded from the ranked model and flagged as a research gap.</t>
  </si>
  <si>
    <t xml:space="preserve">Headline Recommendation</t>
  </si>
  <si>
    <t xml:space="preserve">1) SCALE - TIGC: revenue doubled (+101%) with an EBITDA margin of only -6.4%, the closest to breakeven of any brand. It deserves the next round of marketing and offline capex.
2) FIX - Bewakoof: revenue nearly flat (+8%) but losses fell 29% purely from cost discipline. Hold spend, keep tightening opex, don't chase growth yet.
3) CUT/HARVEST - Wrogn: second straight year of revenue decline (-9%) while losses grew 32% and accumulated losses hit Rs 709 Cr. Ad spend rose 63% while sales fell - that spend is not converting. Recommend freezing performance-marketing spend and re-underwriting the brand before any further capital.
4) INVESTIGATE - Nobero: claimed high growth but no audited financials on record. Get real numbers before allocating capital here.</t>
  </si>
  <si>
    <t xml:space="preserve">Brand-Level Financials - FY24 vs FY25 (Rs Crore, RoC filings)</t>
  </si>
  <si>
    <t xml:space="preserve">Revenue FY24</t>
  </si>
  <si>
    <t xml:space="preserve">Revenue FY25</t>
  </si>
  <si>
    <t xml:space="preserve">Growth YoY</t>
  </si>
  <si>
    <t xml:space="preserve">EBITDA Margin FY25</t>
  </si>
  <si>
    <t xml:space="preserve">Net Loss FY24</t>
  </si>
  <si>
    <t xml:space="preserve">Net Loss FY25</t>
  </si>
  <si>
    <t xml:space="preserve">Loss Change YoY</t>
  </si>
  <si>
    <t xml:space="preserve">Source</t>
  </si>
  <si>
    <t xml:space="preserve">Entrackr, 15 Jan 2026, RoC filings - revenue doubled, EBITDA margin -6.37%, flipped from Rs 5 Cr profit (FY24) to Rs 23 Cr net loss (FY25) as material costs +142%, job-work costs +193%</t>
  </si>
  <si>
    <t xml:space="preserve">Inc42, 31 Oct 2025, RoC filings - EBITDA loss improved 38% to Rs 57 Cr (margin -34%, up from -59% in FY24); ad spend held flat at Rs 48.6 Cr; cost per Rs 1 revenue improved from Rs 1.65 to Rs 1.43</t>
  </si>
  <si>
    <t xml:space="preserve">Inc42 / Entrackr, 25 Sep 2025, RoC filings - 2nd consecutive year of revenue decline (-29% in FY24, -9% in FY25); ad spend +63% YoY despite falling sales; accumulated losses Rs 709 Cr; ROCE -70%</t>
  </si>
  <si>
    <t xml:space="preserve">Nobero - no RoC-filed FY25 statement located. Third-party estimate (ECDB, e-commerce GMV tracker): ~$60M (~Rs 500 Cr) GMV in 2025, +75-80% YoY. GMV is not audited revenue; excluded from ranked comparison above.</t>
  </si>
  <si>
    <t xml:space="preserve">TMRW consolidated (all brands): Q1 FY26 revenue Rs 197 Cr (+38% YoY), EBITDA loss Rs 63 Cr (vs Rs 46 Cr in Q1 FY25). Source: Mint / VentureIntelligence, Aug 2025 ServiceNow Ventures funding announcement.</t>
  </si>
  <si>
    <t xml:space="preserve">Classification Logic</t>
  </si>
  <si>
    <t xml:space="preserve">Axis 1: Revenue growth YoY (FY25 vs FY24) - is the brand actually getting bigger?
Axis 2: EBITDA margin - how loss-making is each rupee of revenue right now?
A brand that is growing AND has the best margin in the portfolio = Scale. Flat/slow growth but margin improving from cost control = Fix. Declining revenue AND worsening losses = Cut/Harvest.</t>
  </si>
  <si>
    <t xml:space="preserve">Quadrant</t>
  </si>
  <si>
    <t xml:space="preserve">Rationale</t>
  </si>
  <si>
    <t xml:space="preserve">The Indian Garage Co</t>
  </si>
  <si>
    <t xml:space="preserve">High growth (+101%) + best-in-portfolio margin (-6.4%) = closest to profitable scale</t>
  </si>
  <si>
    <t xml:space="preserve">Low growth (+8%) but margin improved 2,500 bps YoY via cost control - protect the improvement, don't overspend to chase growth yet</t>
  </si>
  <si>
    <t xml:space="preserve">Revenue down 2 years running, margin worsening, ad spend up 63% without a sales response - capital is not converting</t>
  </si>
  <si>
    <t xml:space="preserve">Scenario: Reallocate Wrogn's Incremental Ad Spend to TIGC</t>
  </si>
  <si>
    <t xml:space="preserve">Wrogn's ad/promo spend rose 63% YoY in FY25 while revenue fell 9% - that spend did not convert. TIGC's EBITDA margin (-6.4%) is far closer to breakeven than Wrogn's (-27.5%). This scenario models freezing Wrogn's incremental ad spend and redeploying it into TIGC's proven, closer-to-breakeven growth engine, holding TIGC's FY25 EBITDA margin constant on the added revenue.</t>
  </si>
  <si>
    <t xml:space="preserve">Key Assumptions (editable - blue cells on yellow fill)</t>
  </si>
  <si>
    <t xml:space="preserve">Wrogn FY25 ad/promo spend (Rs Cr)</t>
  </si>
  <si>
    <t xml:space="preserve">Approx. - Entrackr reports ad spend +63% YoY; this sets an FY25 level consistent with that increase</t>
  </si>
  <si>
    <t xml:space="preserve">Wrogn FY24 ad/promo spend (Rs Cr)</t>
  </si>
  <si>
    <t xml:space="preserve">Implied base before the 63% YoY increase - i.e. the last year ad spend still roughly matched revenue</t>
  </si>
  <si>
    <t xml:space="preserve">TIGC revenue generated per Rs 1 of incremental ad spend (assumed)</t>
  </si>
  <si>
    <t xml:space="preserve">Placeholder - TIGC does not disclose ad spend separately; assumes similar efficiency to its FY25 revenue-doubling performance. Flag this explicitly as an assumption when presenting.</t>
  </si>
  <si>
    <t xml:space="preserve">TIGC FY25 EBITDA margin</t>
  </si>
  <si>
    <t xml:space="preserve">From Brand Financials tab - held constant on incremental revenue for this scenario</t>
  </si>
  <si>
    <t xml:space="preserve">Reallocatable spend</t>
  </si>
  <si>
    <t xml:space="preserve">Projected Impact</t>
  </si>
  <si>
    <t xml:space="preserve">Incremental TIGC revenue from reallocated spend (Rs Cr)</t>
  </si>
  <si>
    <t xml:space="preserve">Incremental TIGC EBITDA impact (Rs Cr)</t>
  </si>
  <si>
    <t xml:space="preserve">Wrogn EBITDA impact of freezing incremental spend (Rs Cr; spend removed = loss avoided 1:1)</t>
  </si>
  <si>
    <t xml:space="preserve">Net portfolio EBITDA improvement vs. FY25 base (Rs Cr)</t>
  </si>
  <si>
    <t xml:space="preserve">Read: this is a directional model, not an audited forecast - TIGC's ad-spend efficiency is assumed, not disclosed. The purpose is to show the mechanism (redeploy capital from a brand where spend isn't converting to one where it is) and give a reader a number to react to, not a precise P&amp;L. In a real engagement, the next step would be requesting TIGC's actual CAC / marketing-efficiency data before committing budget.</t>
  </si>
  <si>
    <t xml:space="preserve">Detail</t>
  </si>
  <si>
    <t xml:space="preserve">TMRW / ServiceNow Ventures</t>
  </si>
  <si>
    <t xml:space="preserve">Mint via VentureIntelligence, Aug 2025 - TMRW raised Rs 437 Cr from ServiceNow Ventures; Q1 FY26 revenue Rs 197 Cr (+38% YoY), EBITDA loss Rs 63 Cr (vs Rs 46 Cr prior year)</t>
  </si>
  <si>
    <t xml:space="preserve">TIGC FY25 financials</t>
  </si>
  <si>
    <t xml:space="preserve">Entrackr, 15 Jan 2026, sourced from RoC filings - revenue Rs 204 Cr (+101%), net loss Rs 23 Cr (from Rs 5 Cr profit), EBITDA margin -6.37%</t>
  </si>
  <si>
    <t xml:space="preserve">Bewakoof FY25 financials</t>
  </si>
  <si>
    <t xml:space="preserve">Inc42, 31 Oct 2025 &amp; Entrackr, 31 Oct 2025, sourced from RoC filings - revenue Rs 173 Cr (+8%), net loss Rs 73.2 Cr (-29% YoY), EBITDA margin -34%</t>
  </si>
  <si>
    <t xml:space="preserve">Wrogn FY25 financials</t>
  </si>
  <si>
    <t xml:space="preserve">Inc42 &amp; Entrackr, 25 Sep 2025, sourced from RoC filings - revenue Rs 223.2 Cr (-9%), net loss Rs 75.5 Cr (+32% YoY), accumulated losses Rs 709 Cr</t>
  </si>
  <si>
    <t xml:space="preserve">Nobero</t>
  </si>
  <si>
    <t xml:space="preserve">ECDB e-commerce tracker (estimate, not audited) - ~$60M GMV in 2025, +75-80% YoY; no RoC filing located</t>
  </si>
  <si>
    <t xml:space="preserve">TMRW brand portfolio</t>
  </si>
  <si>
    <t xml:space="preserve">Inc42, 31 Oct 2025 - TMRW operates 16 stores across 7 cities as of FY25; Bewakoof, TIGC and Nobero all expanded into physical retail during the year</t>
  </si>
</sst>
</file>

<file path=xl/styles.xml><?xml version="1.0" encoding="utf-8"?>
<styleSheet xmlns="http://schemas.openxmlformats.org/spreadsheetml/2006/main">
  <numFmts count="3">
    <numFmt numFmtId="164" formatCode="General"/>
    <numFmt numFmtId="165" formatCode="0.0%;\(0.0%\);\-"/>
    <numFmt numFmtId="166" formatCode="#,##0;\(#,##0\);\-"/>
  </numFmts>
  <fonts count="15">
    <font>
      <sz val="11"/>
      <color theme="1"/>
      <name val="Calibri"/>
      <family val="2"/>
      <charset val="1"/>
    </font>
    <font>
      <sz val="10"/>
      <name val="Arial"/>
      <family val="0"/>
    </font>
    <font>
      <sz val="10"/>
      <name val="Arial"/>
      <family val="0"/>
    </font>
    <font>
      <sz val="10"/>
      <name val="Arial"/>
      <family val="0"/>
    </font>
    <font>
      <b val="true"/>
      <sz val="18"/>
      <color rgb="FF1E2761"/>
      <name val="Arial"/>
      <family val="0"/>
      <charset val="1"/>
    </font>
    <font>
      <i val="true"/>
      <sz val="9"/>
      <color rgb="FF666666"/>
      <name val="Arial"/>
      <family val="0"/>
      <charset val="1"/>
    </font>
    <font>
      <b val="true"/>
      <sz val="12"/>
      <color rgb="FF1E2761"/>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8000"/>
      <name val="Arial"/>
      <family val="0"/>
      <charset val="1"/>
    </font>
    <font>
      <b val="true"/>
      <sz val="14"/>
      <color rgb="FF1E2761"/>
      <name val="Arial"/>
      <family val="0"/>
      <charset val="1"/>
    </font>
    <font>
      <b val="true"/>
      <sz val="11"/>
      <name val="Arial"/>
      <family val="0"/>
      <charset val="1"/>
    </font>
    <font>
      <sz val="10"/>
      <color rgb="FF0000FF"/>
      <name val="Arial"/>
      <family val="0"/>
      <charset val="1"/>
    </font>
    <font>
      <sz val="10"/>
      <color rgb="FF000000"/>
      <name val="Arial"/>
      <family val="0"/>
      <charset val="1"/>
    </font>
  </fonts>
  <fills count="9">
    <fill>
      <patternFill patternType="none"/>
    </fill>
    <fill>
      <patternFill patternType="gray125"/>
    </fill>
    <fill>
      <patternFill patternType="solid">
        <fgColor rgb="FF1E2761"/>
        <bgColor rgb="FF333333"/>
      </patternFill>
    </fill>
    <fill>
      <patternFill patternType="solid">
        <fgColor rgb="FFC6EFCE"/>
        <bgColor rgb="FFD9D9D9"/>
      </patternFill>
    </fill>
    <fill>
      <patternFill patternType="solid">
        <fgColor rgb="FFFFEB9C"/>
        <bgColor rgb="FFFFFFCC"/>
      </patternFill>
    </fill>
    <fill>
      <patternFill patternType="solid">
        <fgColor rgb="FFFFC7CE"/>
        <bgColor rgb="FFD9D9D9"/>
      </patternFill>
    </fill>
    <fill>
      <patternFill patternType="solid">
        <fgColor rgb="FFD9D9D9"/>
        <bgColor rgb="FFCADCFC"/>
      </patternFill>
    </fill>
    <fill>
      <patternFill patternType="solid">
        <fgColor rgb="FFCADCFC"/>
        <bgColor rgb="FFD9D9D9"/>
      </patternFill>
    </fill>
    <fill>
      <patternFill patternType="solid">
        <fgColor rgb="FFFFFF00"/>
        <bgColor rgb="FFFFFF00"/>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9" fillId="5"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6"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6" fontId="13" fillId="7" borderId="1" xfId="0" applyFont="true" applyBorder="true" applyAlignment="true" applyProtection="false">
      <alignment horizontal="right" vertical="bottom" textRotation="0" wrapText="false" indent="0" shrinkToFit="false"/>
      <protection locked="true" hidden="false"/>
    </xf>
    <xf numFmtId="165" fontId="14" fillId="7" borderId="1" xfId="0" applyFont="true" applyBorder="true" applyAlignment="true" applyProtection="false">
      <alignment horizontal="right" vertical="bottom" textRotation="0" wrapText="false" indent="0" shrinkToFit="false"/>
      <protection locked="true" hidden="false"/>
    </xf>
    <xf numFmtId="165" fontId="13" fillId="7" borderId="1" xfId="0" applyFont="true" applyBorder="true" applyAlignment="true" applyProtection="false">
      <alignment horizontal="right" vertical="bottom" textRotation="0" wrapText="false" indent="0" shrinkToFit="false"/>
      <protection locked="true" hidden="false"/>
    </xf>
    <xf numFmtId="164" fontId="5" fillId="7"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6" fontId="13" fillId="8" borderId="1" xfId="0" applyFont="true" applyBorder="true" applyAlignment="true" applyProtection="false">
      <alignment horizontal="right"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5" fontId="13" fillId="8" borderId="1" xfId="0" applyFont="true" applyBorder="true" applyAlignment="true" applyProtection="false">
      <alignment horizontal="right" vertical="bottom" textRotation="0" wrapText="false" indent="0" shrinkToFit="false"/>
      <protection locked="true" hidden="false"/>
    </xf>
    <xf numFmtId="166" fontId="14" fillId="0" borderId="1" xfId="0" applyFont="true" applyBorder="true" applyAlignment="true" applyProtection="false">
      <alignment horizontal="right"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6" fontId="12" fillId="3"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9D9D9"/>
      <rgbColor rgb="FF660066"/>
      <rgbColor rgb="FFFF8080"/>
      <rgbColor rgb="FF0066CC"/>
      <rgbColor rgb="FFCADCFC"/>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1E276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6" min="3" style="0" width="16"/>
    <col collapsed="false" customWidth="true" hidden="false" outlineLevel="0" max="7" min="7" style="0" width="30"/>
  </cols>
  <sheetData>
    <row r="2" customFormat="false" ht="22.05" hidden="false" customHeight="false" outlineLevel="0" collapsed="false">
      <c r="B2" s="1" t="s">
        <v>0</v>
      </c>
      <c r="C2" s="1"/>
      <c r="D2" s="1"/>
      <c r="E2" s="1"/>
      <c r="F2" s="1"/>
      <c r="G2" s="1"/>
    </row>
    <row r="3" customFormat="false" ht="15" hidden="false" customHeight="false" outlineLevel="0" collapsed="false">
      <c r="B3" s="2" t="s">
        <v>1</v>
      </c>
      <c r="C3" s="2"/>
      <c r="D3" s="2"/>
      <c r="E3" s="2"/>
      <c r="F3" s="2"/>
      <c r="G3" s="2"/>
    </row>
    <row r="5" customFormat="false" ht="15" hidden="false" customHeight="false" outlineLevel="0" collapsed="false">
      <c r="B5" s="3" t="s">
        <v>2</v>
      </c>
      <c r="C5" s="3"/>
      <c r="D5" s="3"/>
      <c r="E5" s="3"/>
      <c r="F5" s="3"/>
      <c r="G5" s="3"/>
    </row>
    <row r="6" customFormat="false" ht="60" hidden="false" customHeight="true" outlineLevel="0" collapsed="false">
      <c r="B6" s="4" t="s">
        <v>3</v>
      </c>
      <c r="C6" s="4"/>
      <c r="D6" s="4"/>
      <c r="E6" s="4"/>
      <c r="F6" s="4"/>
      <c r="G6" s="4"/>
    </row>
    <row r="7" customFormat="false" ht="15" hidden="false" customHeight="false" outlineLevel="0" collapsed="false">
      <c r="B7" s="4"/>
      <c r="C7" s="4"/>
      <c r="D7" s="4"/>
      <c r="E7" s="4"/>
      <c r="F7" s="4"/>
      <c r="G7" s="4"/>
    </row>
    <row r="8" customFormat="false" ht="15" hidden="false" customHeight="false" outlineLevel="0" collapsed="false">
      <c r="B8" s="4"/>
      <c r="C8" s="4"/>
      <c r="D8" s="4"/>
      <c r="E8" s="4"/>
      <c r="F8" s="4"/>
      <c r="G8" s="4"/>
    </row>
    <row r="10" customFormat="false" ht="15" hidden="false" customHeight="false" outlineLevel="0" collapsed="false">
      <c r="B10" s="3" t="s">
        <v>4</v>
      </c>
      <c r="C10" s="3"/>
      <c r="D10" s="3"/>
      <c r="E10" s="3"/>
      <c r="F10" s="3"/>
      <c r="G10" s="3"/>
    </row>
    <row r="11" customFormat="false" ht="23.85" hidden="false" customHeight="false" outlineLevel="0" collapsed="false">
      <c r="B11" s="5" t="s">
        <v>5</v>
      </c>
      <c r="C11" s="5" t="s">
        <v>6</v>
      </c>
      <c r="D11" s="5" t="s">
        <v>7</v>
      </c>
      <c r="E11" s="5" t="s">
        <v>8</v>
      </c>
      <c r="F11" s="5" t="s">
        <v>9</v>
      </c>
    </row>
    <row r="12" customFormat="false" ht="15" hidden="false" customHeight="false" outlineLevel="0" collapsed="false">
      <c r="B12" s="6" t="s">
        <v>10</v>
      </c>
      <c r="C12" s="7" t="n">
        <f aca="false">'Brand Financials'!E6</f>
        <v>1.00985221674877</v>
      </c>
      <c r="D12" s="7" t="n">
        <f aca="false">'Brand Financials'!F6</f>
        <v>-0.0637</v>
      </c>
      <c r="E12" s="7" t="n">
        <f aca="false">'Brand Financials'!I6</f>
        <v>-3.6</v>
      </c>
      <c r="F12" s="8" t="s">
        <v>11</v>
      </c>
    </row>
    <row r="13" customFormat="false" ht="15" hidden="false" customHeight="false" outlineLevel="0" collapsed="false">
      <c r="B13" s="6" t="s">
        <v>12</v>
      </c>
      <c r="C13" s="7" t="n">
        <f aca="false">'Brand Financials'!E12</f>
        <v>0.0752019888129273</v>
      </c>
      <c r="D13" s="7" t="n">
        <f aca="false">'Brand Financials'!F12</f>
        <v>-0.34</v>
      </c>
      <c r="E13" s="7" t="n">
        <f aca="false">'Brand Financials'!I12</f>
        <v>0.290009699321048</v>
      </c>
      <c r="F13" s="9" t="s">
        <v>13</v>
      </c>
    </row>
    <row r="14" customFormat="false" ht="15" hidden="false" customHeight="false" outlineLevel="0" collapsed="false">
      <c r="B14" s="6" t="s">
        <v>14</v>
      </c>
      <c r="C14" s="7" t="n">
        <f aca="false">'Brand Financials'!E18</f>
        <v>-0.0900937627395027</v>
      </c>
      <c r="D14" s="7" t="n">
        <f aca="false">'Brand Financials'!F18</f>
        <v>-0.275</v>
      </c>
      <c r="E14" s="7" t="n">
        <f aca="false">'Brand Financials'!I18</f>
        <v>-0.329225352112676</v>
      </c>
      <c r="F14" s="10" t="s">
        <v>15</v>
      </c>
    </row>
    <row r="15" customFormat="false" ht="15" hidden="false" customHeight="false" outlineLevel="0" collapsed="false">
      <c r="B15" s="6" t="s">
        <v>16</v>
      </c>
      <c r="C15" s="11" t="s">
        <v>17</v>
      </c>
      <c r="D15" s="11" t="s">
        <v>18</v>
      </c>
      <c r="E15" s="11" t="s">
        <v>18</v>
      </c>
      <c r="F15" s="12" t="s">
        <v>19</v>
      </c>
    </row>
    <row r="17" customFormat="false" ht="22.35" hidden="false" customHeight="true" outlineLevel="0" collapsed="false">
      <c r="B17" s="13" t="s">
        <v>20</v>
      </c>
      <c r="C17" s="13"/>
      <c r="D17" s="13"/>
      <c r="E17" s="13"/>
      <c r="F17" s="13"/>
      <c r="G17" s="13"/>
    </row>
    <row r="19" customFormat="false" ht="15" hidden="false" customHeight="false" outlineLevel="0" collapsed="false">
      <c r="B19" s="3" t="s">
        <v>21</v>
      </c>
      <c r="C19" s="3"/>
      <c r="D19" s="3"/>
      <c r="E19" s="3"/>
      <c r="F19" s="3"/>
      <c r="G19" s="3"/>
    </row>
    <row r="20" customFormat="false" ht="129.75" hidden="false" customHeight="true" outlineLevel="0" collapsed="false">
      <c r="B20" s="4" t="s">
        <v>22</v>
      </c>
      <c r="C20" s="4"/>
      <c r="D20" s="4"/>
      <c r="E20" s="4"/>
      <c r="F20" s="4"/>
      <c r="G20" s="4"/>
    </row>
    <row r="21" customFormat="false" ht="15" hidden="false" customHeight="false" outlineLevel="0" collapsed="false">
      <c r="B21" s="4"/>
      <c r="C21" s="4"/>
      <c r="D21" s="4"/>
      <c r="E21" s="4"/>
      <c r="F21" s="4"/>
      <c r="G21" s="4"/>
    </row>
    <row r="22" customFormat="false" ht="15" hidden="false" customHeight="false" outlineLevel="0" collapsed="false">
      <c r="B22" s="4"/>
      <c r="C22" s="4"/>
      <c r="D22" s="4"/>
      <c r="E22" s="4"/>
      <c r="F22" s="4"/>
      <c r="G22" s="4"/>
    </row>
    <row r="23" customFormat="false" ht="15" hidden="false" customHeight="false" outlineLevel="0" collapsed="false">
      <c r="B23" s="4"/>
      <c r="C23" s="4"/>
      <c r="D23" s="4"/>
      <c r="E23" s="4"/>
      <c r="F23" s="4"/>
      <c r="G23" s="4"/>
    </row>
    <row r="24" customFormat="false" ht="15" hidden="false" customHeight="false" outlineLevel="0" collapsed="false">
      <c r="B24" s="4"/>
      <c r="C24" s="4"/>
      <c r="D24" s="4"/>
      <c r="E24" s="4"/>
      <c r="F24" s="4"/>
      <c r="G24" s="4"/>
    </row>
    <row r="25" customFormat="false" ht="15" hidden="false" customHeight="false" outlineLevel="0" collapsed="false">
      <c r="B25" s="4"/>
      <c r="C25" s="4"/>
      <c r="D25" s="4"/>
      <c r="E25" s="4"/>
      <c r="F25" s="4"/>
      <c r="G25" s="4"/>
    </row>
  </sheetData>
  <mergeCells count="8">
    <mergeCell ref="B2:G2"/>
    <mergeCell ref="B3:G3"/>
    <mergeCell ref="B5:G5"/>
    <mergeCell ref="B6:G8"/>
    <mergeCell ref="B10:G10"/>
    <mergeCell ref="B17:G17"/>
    <mergeCell ref="B19:G19"/>
    <mergeCell ref="B20: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
    <col collapsed="false" customWidth="true" hidden="false" outlineLevel="0" max="4" min="3" style="0" width="14"/>
    <col collapsed="false" customWidth="true" hidden="false" outlineLevel="0" max="5" min="5" style="0" width="12"/>
    <col collapsed="false" customWidth="true" hidden="false" outlineLevel="0" max="7" min="6" style="0" width="14"/>
    <col collapsed="false" customWidth="true" hidden="false" outlineLevel="0" max="8" min="8" style="0" width="12"/>
    <col collapsed="false" customWidth="true" hidden="false" outlineLevel="0" max="10" min="9" style="0" width="14"/>
    <col collapsed="false" customWidth="true" hidden="false" outlineLevel="0" max="11" min="11" style="0" width="12"/>
    <col collapsed="false" customWidth="true" hidden="false" outlineLevel="0" max="12" min="12" style="0" width="45"/>
  </cols>
  <sheetData>
    <row r="1" customFormat="false" ht="17.35" hidden="false" customHeight="false" outlineLevel="0" collapsed="false">
      <c r="A1" s="14" t="s">
        <v>23</v>
      </c>
      <c r="B1" s="14"/>
      <c r="C1" s="14"/>
      <c r="D1" s="14"/>
      <c r="E1" s="14"/>
      <c r="F1" s="14"/>
      <c r="G1" s="14"/>
      <c r="H1" s="14"/>
      <c r="I1" s="14"/>
      <c r="J1" s="14"/>
      <c r="K1" s="14"/>
    </row>
    <row r="3" customFormat="false" ht="23.85" hidden="false" customHeight="false" outlineLevel="0" collapsed="false">
      <c r="A3" s="5" t="s">
        <v>5</v>
      </c>
      <c r="B3" s="5"/>
      <c r="C3" s="5" t="s">
        <v>24</v>
      </c>
      <c r="D3" s="5" t="s">
        <v>25</v>
      </c>
      <c r="E3" s="5" t="s">
        <v>26</v>
      </c>
      <c r="F3" s="5" t="s">
        <v>27</v>
      </c>
      <c r="G3" s="5" t="s">
        <v>28</v>
      </c>
      <c r="H3" s="5" t="s">
        <v>29</v>
      </c>
      <c r="I3" s="5" t="s">
        <v>30</v>
      </c>
      <c r="K3" s="5" t="s">
        <v>31</v>
      </c>
    </row>
    <row r="6" customFormat="false" ht="30" hidden="false" customHeight="true" outlineLevel="0" collapsed="false">
      <c r="A6" s="15" t="s">
        <v>10</v>
      </c>
      <c r="B6" s="16"/>
      <c r="C6" s="17" t="n">
        <v>101.5</v>
      </c>
      <c r="D6" s="17" t="n">
        <v>204</v>
      </c>
      <c r="E6" s="18" t="n">
        <f aca="false">(D6-C6)/C6</f>
        <v>1.00985221674877</v>
      </c>
      <c r="F6" s="19" t="n">
        <v>-0.0637</v>
      </c>
      <c r="G6" s="17" t="n">
        <v>-5</v>
      </c>
      <c r="H6" s="17" t="n">
        <v>-23</v>
      </c>
      <c r="I6" s="18" t="n">
        <f aca="false">(H6-G6)/ABS(G6)</f>
        <v>-3.6</v>
      </c>
      <c r="K6" s="20" t="s">
        <v>32</v>
      </c>
    </row>
    <row r="12" customFormat="false" ht="30" hidden="false" customHeight="true" outlineLevel="0" collapsed="false">
      <c r="A12" s="15" t="s">
        <v>12</v>
      </c>
      <c r="B12" s="16"/>
      <c r="C12" s="17" t="n">
        <v>160.9</v>
      </c>
      <c r="D12" s="17" t="n">
        <v>173</v>
      </c>
      <c r="E12" s="18" t="n">
        <f aca="false">(D12-C12)/C12</f>
        <v>0.0752019888129273</v>
      </c>
      <c r="F12" s="19" t="n">
        <v>-0.34</v>
      </c>
      <c r="G12" s="17" t="n">
        <v>-103.1</v>
      </c>
      <c r="H12" s="17" t="n">
        <v>-73.2</v>
      </c>
      <c r="I12" s="18" t="n">
        <f aca="false">(H12-G12)/ABS(G12)</f>
        <v>0.290009699321048</v>
      </c>
      <c r="K12" s="20" t="s">
        <v>33</v>
      </c>
    </row>
    <row r="18" customFormat="false" ht="30" hidden="false" customHeight="true" outlineLevel="0" collapsed="false">
      <c r="A18" s="15" t="s">
        <v>14</v>
      </c>
      <c r="B18" s="16"/>
      <c r="C18" s="17" t="n">
        <v>245.3</v>
      </c>
      <c r="D18" s="17" t="n">
        <v>223.2</v>
      </c>
      <c r="E18" s="18" t="n">
        <f aca="false">(D18-C18)/C18</f>
        <v>-0.0900937627395027</v>
      </c>
      <c r="F18" s="19" t="n">
        <v>-0.275</v>
      </c>
      <c r="G18" s="17" t="n">
        <v>-56.8</v>
      </c>
      <c r="H18" s="17" t="n">
        <v>-75.5</v>
      </c>
      <c r="I18" s="18" t="n">
        <f aca="false">(H18-G18)/ABS(G18)</f>
        <v>-0.329225352112676</v>
      </c>
      <c r="K18" s="20" t="s">
        <v>34</v>
      </c>
    </row>
    <row r="24" customFormat="false" ht="22.35" hidden="false" customHeight="true" outlineLevel="0" collapsed="false">
      <c r="A24" s="21" t="s">
        <v>35</v>
      </c>
      <c r="B24" s="21"/>
      <c r="C24" s="21"/>
      <c r="D24" s="21"/>
      <c r="E24" s="21"/>
      <c r="F24" s="21"/>
      <c r="G24" s="21"/>
      <c r="H24" s="21"/>
      <c r="I24" s="21"/>
      <c r="J24" s="21"/>
      <c r="K24" s="21"/>
    </row>
    <row r="26" customFormat="false" ht="22.35" hidden="false" customHeight="true" outlineLevel="0" collapsed="false">
      <c r="A26" s="21" t="s">
        <v>36</v>
      </c>
      <c r="B26" s="21"/>
      <c r="C26" s="21"/>
      <c r="D26" s="21"/>
      <c r="E26" s="21"/>
      <c r="F26" s="21"/>
      <c r="G26" s="21"/>
      <c r="H26" s="21"/>
      <c r="I26" s="21"/>
      <c r="J26" s="21"/>
      <c r="K26" s="21"/>
    </row>
  </sheetData>
  <mergeCells count="3">
    <mergeCell ref="A1:K1"/>
    <mergeCell ref="A24:K24"/>
    <mergeCell ref="A26:K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6"/>
    <col collapsed="false" customWidth="true" hidden="false" outlineLevel="0" max="4" min="4" style="0" width="18"/>
    <col collapsed="false" customWidth="true" hidden="false" outlineLevel="0" max="5" min="5" style="0" width="45"/>
  </cols>
  <sheetData>
    <row r="1" customFormat="false" ht="17.35" hidden="false" customHeight="false" outlineLevel="0" collapsed="false">
      <c r="A1" s="14" t="s">
        <v>37</v>
      </c>
      <c r="B1" s="14"/>
      <c r="C1" s="14"/>
      <c r="D1" s="14"/>
      <c r="E1" s="14"/>
    </row>
    <row r="3" customFormat="false" ht="54.75" hidden="false" customHeight="true" outlineLevel="0" collapsed="false">
      <c r="A3" s="4" t="s">
        <v>38</v>
      </c>
      <c r="B3" s="4"/>
      <c r="C3" s="4"/>
      <c r="D3" s="4"/>
      <c r="E3" s="4"/>
    </row>
    <row r="4" customFormat="false" ht="15" hidden="false" customHeight="false" outlineLevel="0" collapsed="false">
      <c r="A4" s="4"/>
      <c r="B4" s="4"/>
      <c r="C4" s="4"/>
      <c r="D4" s="4"/>
      <c r="E4" s="4"/>
    </row>
    <row r="6" customFormat="false" ht="23.85" hidden="false" customHeight="false" outlineLevel="0" collapsed="false">
      <c r="A6" s="5" t="s">
        <v>5</v>
      </c>
      <c r="B6" s="5" t="s">
        <v>6</v>
      </c>
      <c r="C6" s="5" t="s">
        <v>27</v>
      </c>
      <c r="D6" s="5" t="s">
        <v>39</v>
      </c>
      <c r="E6" s="5" t="s">
        <v>40</v>
      </c>
    </row>
    <row r="7" customFormat="false" ht="49.5" hidden="false" customHeight="true" outlineLevel="0" collapsed="false">
      <c r="A7" s="6" t="s">
        <v>41</v>
      </c>
      <c r="B7" s="7" t="n">
        <f aca="false">'Brand Financials'!E6</f>
        <v>1.00985221674877</v>
      </c>
      <c r="C7" s="7" t="n">
        <f aca="false">'Brand Financials'!F6</f>
        <v>-0.0637</v>
      </c>
      <c r="D7" s="8" t="s">
        <v>11</v>
      </c>
      <c r="E7" s="22" t="s">
        <v>42</v>
      </c>
    </row>
    <row r="8" customFormat="false" ht="49.5" hidden="false" customHeight="true" outlineLevel="0" collapsed="false">
      <c r="A8" s="6" t="s">
        <v>12</v>
      </c>
      <c r="B8" s="7" t="n">
        <f aca="false">'Brand Financials'!E12</f>
        <v>0.0752019888129273</v>
      </c>
      <c r="C8" s="7" t="n">
        <f aca="false">'Brand Financials'!F12</f>
        <v>-0.34</v>
      </c>
      <c r="D8" s="9" t="s">
        <v>13</v>
      </c>
      <c r="E8" s="22" t="s">
        <v>43</v>
      </c>
    </row>
    <row r="9" customFormat="false" ht="49.5" hidden="false" customHeight="true" outlineLevel="0" collapsed="false">
      <c r="A9" s="6" t="s">
        <v>14</v>
      </c>
      <c r="B9" s="7" t="n">
        <f aca="false">'Brand Financials'!E18</f>
        <v>-0.0900937627395027</v>
      </c>
      <c r="C9" s="7" t="n">
        <f aca="false">'Brand Financials'!F18</f>
        <v>-0.275</v>
      </c>
      <c r="D9" s="10" t="s">
        <v>15</v>
      </c>
      <c r="E9" s="22" t="s">
        <v>44</v>
      </c>
    </row>
  </sheetData>
  <mergeCells count="2">
    <mergeCell ref="A1:E1"/>
    <mergeCell ref="A3: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3"/>
    <col collapsed="false" customWidth="true" hidden="false" outlineLevel="0" max="4" min="4" style="0" width="45"/>
  </cols>
  <sheetData>
    <row r="1" customFormat="false" ht="17.35" hidden="false" customHeight="false" outlineLevel="0" collapsed="false">
      <c r="A1" s="14" t="s">
        <v>45</v>
      </c>
      <c r="B1" s="14"/>
      <c r="C1" s="14"/>
      <c r="D1" s="14"/>
    </row>
    <row r="3" customFormat="false" ht="64.5" hidden="false" customHeight="true" outlineLevel="0" collapsed="false">
      <c r="A3" s="4" t="s">
        <v>46</v>
      </c>
      <c r="B3" s="4"/>
      <c r="C3" s="4"/>
      <c r="D3" s="4"/>
    </row>
    <row r="4" customFormat="false" ht="15" hidden="false" customHeight="false" outlineLevel="0" collapsed="false">
      <c r="A4" s="4"/>
      <c r="B4" s="4"/>
      <c r="C4" s="4"/>
      <c r="D4" s="4"/>
    </row>
    <row r="5" customFormat="false" ht="15" hidden="false" customHeight="false" outlineLevel="0" collapsed="false">
      <c r="A5" s="4"/>
      <c r="B5" s="4"/>
      <c r="C5" s="4"/>
      <c r="D5" s="4"/>
    </row>
    <row r="7" customFormat="false" ht="15" hidden="false" customHeight="false" outlineLevel="0" collapsed="false">
      <c r="A7" s="3" t="s">
        <v>47</v>
      </c>
      <c r="B7" s="3"/>
      <c r="C7" s="3"/>
      <c r="D7" s="3"/>
    </row>
    <row r="8" customFormat="false" ht="33.75" hidden="false" customHeight="true" outlineLevel="0" collapsed="false">
      <c r="A8" s="23" t="s">
        <v>48</v>
      </c>
      <c r="B8" s="24" t="n">
        <v>65</v>
      </c>
      <c r="D8" s="25" t="s">
        <v>49</v>
      </c>
    </row>
    <row r="9" customFormat="false" ht="33.75" hidden="false" customHeight="true" outlineLevel="0" collapsed="false">
      <c r="A9" s="23" t="s">
        <v>50</v>
      </c>
      <c r="B9" s="24" t="n">
        <v>40</v>
      </c>
      <c r="D9" s="25" t="s">
        <v>51</v>
      </c>
    </row>
    <row r="10" customFormat="false" ht="33.75" hidden="false" customHeight="true" outlineLevel="0" collapsed="false">
      <c r="A10" s="23" t="s">
        <v>52</v>
      </c>
      <c r="B10" s="24" t="n">
        <v>8</v>
      </c>
      <c r="D10" s="25" t="s">
        <v>53</v>
      </c>
    </row>
    <row r="11" customFormat="false" ht="33.75" hidden="false" customHeight="true" outlineLevel="0" collapsed="false">
      <c r="A11" s="23" t="s">
        <v>54</v>
      </c>
      <c r="B11" s="26" t="n">
        <v>-0.0637</v>
      </c>
      <c r="D11" s="25" t="s">
        <v>55</v>
      </c>
    </row>
    <row r="14" customFormat="false" ht="15" hidden="false" customHeight="false" outlineLevel="0" collapsed="false">
      <c r="A14" s="23" t="s">
        <v>56</v>
      </c>
      <c r="B14" s="27" t="n">
        <f aca="false">B8-B9</f>
        <v>25</v>
      </c>
    </row>
    <row r="16" customFormat="false" ht="15" hidden="false" customHeight="false" outlineLevel="0" collapsed="false">
      <c r="A16" s="3" t="s">
        <v>57</v>
      </c>
      <c r="B16" s="3"/>
      <c r="C16" s="3"/>
      <c r="D16" s="3"/>
    </row>
    <row r="17" customFormat="false" ht="31.5" hidden="false" customHeight="true" outlineLevel="0" collapsed="false">
      <c r="A17" s="23" t="s">
        <v>58</v>
      </c>
      <c r="B17" s="28" t="n">
        <f aca="false">B14*B10</f>
        <v>200</v>
      </c>
    </row>
    <row r="18" customFormat="false" ht="31.5" hidden="false" customHeight="true" outlineLevel="0" collapsed="false">
      <c r="A18" s="23" t="s">
        <v>59</v>
      </c>
      <c r="B18" s="28" t="n">
        <f aca="false">B17*B11</f>
        <v>-12.74</v>
      </c>
    </row>
    <row r="19" customFormat="false" ht="31.5" hidden="false" customHeight="true" outlineLevel="0" collapsed="false">
      <c r="A19" s="23" t="s">
        <v>60</v>
      </c>
      <c r="B19" s="28" t="n">
        <f aca="false">B14</f>
        <v>25</v>
      </c>
    </row>
    <row r="20" customFormat="false" ht="31.5" hidden="false" customHeight="true" outlineLevel="0" collapsed="false">
      <c r="A20" s="29" t="s">
        <v>61</v>
      </c>
      <c r="B20" s="30" t="n">
        <f aca="false">B18+B19</f>
        <v>12.26</v>
      </c>
    </row>
    <row r="22" customFormat="false" ht="90" hidden="false" customHeight="true" outlineLevel="0" collapsed="false">
      <c r="A22" s="13" t="s">
        <v>62</v>
      </c>
      <c r="B22" s="13"/>
      <c r="C22" s="13"/>
      <c r="D22" s="13"/>
    </row>
    <row r="23" customFormat="false" ht="15" hidden="false" customHeight="false" outlineLevel="0" collapsed="false">
      <c r="A23" s="13"/>
      <c r="B23" s="13"/>
      <c r="C23" s="13"/>
      <c r="D23" s="13"/>
    </row>
    <row r="24" customFormat="false" ht="15" hidden="false" customHeight="false" outlineLevel="0" collapsed="false">
      <c r="A24" s="13"/>
      <c r="B24" s="13"/>
      <c r="C24" s="13"/>
      <c r="D24" s="13"/>
    </row>
    <row r="25" customFormat="false" ht="15" hidden="false" customHeight="false" outlineLevel="0" collapsed="false">
      <c r="A25" s="13"/>
      <c r="B25" s="13"/>
      <c r="C25" s="13"/>
      <c r="D25" s="13"/>
    </row>
    <row r="26" customFormat="false" ht="15" hidden="false" customHeight="false" outlineLevel="0" collapsed="false">
      <c r="A26" s="13"/>
      <c r="B26" s="13"/>
      <c r="C26" s="13"/>
      <c r="D26" s="13"/>
    </row>
  </sheetData>
  <mergeCells count="5">
    <mergeCell ref="A1:D1"/>
    <mergeCell ref="A3:D5"/>
    <mergeCell ref="A7:D7"/>
    <mergeCell ref="A16:D16"/>
    <mergeCell ref="A22: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5"/>
  </cols>
  <sheetData>
    <row r="1" customFormat="false" ht="15" hidden="false" customHeight="false" outlineLevel="0" collapsed="false">
      <c r="A1" s="5" t="s">
        <v>31</v>
      </c>
      <c r="B1" s="5" t="s">
        <v>63</v>
      </c>
    </row>
    <row r="2" customFormat="false" ht="39.75" hidden="false" customHeight="true" outlineLevel="0" collapsed="false">
      <c r="A2" s="31" t="s">
        <v>64</v>
      </c>
      <c r="B2" s="32" t="s">
        <v>65</v>
      </c>
    </row>
    <row r="3" customFormat="false" ht="39.75" hidden="false" customHeight="true" outlineLevel="0" collapsed="false">
      <c r="A3" s="31" t="s">
        <v>66</v>
      </c>
      <c r="B3" s="32" t="s">
        <v>67</v>
      </c>
    </row>
    <row r="4" customFormat="false" ht="39.75" hidden="false" customHeight="true" outlineLevel="0" collapsed="false">
      <c r="A4" s="31" t="s">
        <v>68</v>
      </c>
      <c r="B4" s="32" t="s">
        <v>69</v>
      </c>
    </row>
    <row r="5" customFormat="false" ht="39.75" hidden="false" customHeight="true" outlineLevel="0" collapsed="false">
      <c r="A5" s="31" t="s">
        <v>70</v>
      </c>
      <c r="B5" s="32" t="s">
        <v>71</v>
      </c>
    </row>
    <row r="6" customFormat="false" ht="39.75" hidden="false" customHeight="true" outlineLevel="0" collapsed="false">
      <c r="A6" s="31" t="s">
        <v>72</v>
      </c>
      <c r="B6" s="32" t="s">
        <v>73</v>
      </c>
    </row>
    <row r="7" customFormat="false" ht="39.75" hidden="false" customHeight="true" outlineLevel="0" collapsed="false">
      <c r="A7" s="31" t="s">
        <v>74</v>
      </c>
      <c r="B7" s="32"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2026-09-17T18:41:59Z</dcterms:created>
  <dc:creator>openpyxl</dc:creator>
  <dc:description/>
  <dc:language>en-US</dc:language>
  <cp:lastModifiedBy/>
  <dcterms:modified xsi:type="dcterms:W3CDTF">2026-09-17T18:41:59Z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