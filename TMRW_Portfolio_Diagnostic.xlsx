
<file path=[Content_Types].xml><?xml version="1.0" encoding="utf-8"?>
<Types xmlns="http://schemas.openxmlformats.org/package/2006/content-types">
  <Default Extension="xml" ContentType="application/xml"/>
  <Default Extension="rels" ContentType="application/vnd.openxmlformats-package.relationships+xml"/>
  <Default Extension="png" ContentType="image/png"/>
  <Default Extension="jpeg" ContentType="image/jpeg"/>
  <Override PartName="/xl/_rels/workbook.xml.rels" ContentType="application/vnd.openxmlformats-package.relationships+xml"/>
  <Override PartName="/xl/workbook.xml" ContentType="application/vnd.openxmlformats-officedocument.spreadsheetml.sheet.main+xml"/>
  <Override PartName="/xl/theme/theme1.xml" ContentType="application/vnd.openxmlformats-officedocument.theme+xml"/>
  <Override PartName="/xl/styles.xml" ContentType="application/vnd.openxmlformats-officedocument.spreadsheetml.styl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sharedStrings.xml" ContentType="application/vnd.openxmlformats-officedocument.spreadsheetml.sharedStrings+xml"/>
  <Override PartName="/_rels/.rels" ContentType="application/vnd.openxmlformats-package.relationship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fileVersion appName="Calc"/>
  <workbookPr backupFile="false" showObjects="all" date1904="false"/>
  <workbookProtection/>
  <bookViews>
    <workbookView showHorizontalScroll="true" showVerticalScroll="true" showSheetTabs="true" xWindow="0" yWindow="0" windowWidth="16384" windowHeight="8192" tabRatio="500" firstSheet="0" activeTab="0"/>
  </bookViews>
  <sheets>
    <sheet name="Summary" sheetId="1" state="visible" r:id="rId3"/>
    <sheet name="Brand Financials" sheetId="2" state="visible" r:id="rId4"/>
    <sheet name="2x2 Scoring" sheetId="3" state="visible" r:id="rId5"/>
    <sheet name="TMRW Trajectory" sheetId="4" state="visible" r:id="rId6"/>
    <sheet name="Urbano Trend" sheetId="5" state="visible" r:id="rId7"/>
    <sheet name="Recommendation Model" sheetId="6" state="visible" r:id="rId8"/>
    <sheet name="Sources" sheetId="7" state="visible" r:id="rId9"/>
  </sheets>
  <calcPr iterateCount="100" refMode="A1" iterate="false" iterateDelta="0.0001"/>
  <extLst>
    <ext xmlns:loext="http://schemas.libreoffice.org/" uri="{7626C862-2A13-11E5-B345-FEFF819CDC9F}">
      <loext:extCalcPr stringRefSyntax="ExcelA1"/>
    </ext>
  </extLst>
</workbook>
</file>

<file path=xl/sharedStrings.xml><?xml version="1.0" encoding="utf-8"?>
<sst xmlns="http://schemas.openxmlformats.org/spreadsheetml/2006/main" count="139" uniqueCount="110">
  <si>
    <t xml:space="preserve">TMRW House of Brands — Portfolio Profitability Diagnostic (v2)</t>
  </si>
  <si>
    <t xml:space="preserve">Rebuilt on primary sources: ABFRL/ABLBL Q4 FY25 PR, Motilal Oswal 23-Sep-25, ABFRL SE intimation 17-Sep-26, AGM Speech, Q3 FY26 Investor Presentation</t>
  </si>
  <si>
    <t xml:space="preserve">The Problem — Updated</t>
  </si>
  <si>
    <t xml:space="preserve">TMRW's brand-level FY25 filings (year ended Mar 2025) still show a genuine spread in performance: TIGC scaling profitably, Bewakoof improving margin through cost discipline, and Wrogn losing revenue while ad spend rose. But the more recent Q3 FY26 investor presentation (Oct-Dec 2025) shows the TMRW group overall has since inflected: EBITDA margin improved ~900bps YoY and management states "TMRW losses now peaked." This diagnostic keeps the FY25 brand-level classification (the best granularity available) but adds that group-level trajectory as essential context.</t>
  </si>
  <si>
    <t xml:space="preserve">Portfolio 2x2: Growth vs. Profitability Trend (FY25 vs FY24)</t>
  </si>
  <si>
    <t xml:space="preserve">Brand</t>
  </si>
  <si>
    <t xml:space="preserve">Revenue Growth YoY</t>
  </si>
  <si>
    <t xml:space="preserve">EBITDA Margin (FY25)</t>
  </si>
  <si>
    <t xml:space="preserve">Net Loss Trend YoY</t>
  </si>
  <si>
    <t xml:space="preserve">Classification</t>
  </si>
  <si>
    <t xml:space="preserve">The Indian Garage Co (TIGC)</t>
  </si>
  <si>
    <t xml:space="preserve">Profit -&gt; Loss (+Rs5cr to -Rs23cr)</t>
  </si>
  <si>
    <t xml:space="preserve">Scale</t>
  </si>
  <si>
    <t xml:space="preserve">Bewakoof</t>
  </si>
  <si>
    <t xml:space="preserve">Fix</t>
  </si>
  <si>
    <t xml:space="preserve">Wrogn</t>
  </si>
  <si>
    <t xml:space="preserve">Cut / Harvest</t>
  </si>
  <si>
    <t xml:space="preserve">Nobero*</t>
  </si>
  <si>
    <t xml:space="preserve">n/a (1 yr only)</t>
  </si>
  <si>
    <t xml:space="preserve">n/a (not disclosed)</t>
  </si>
  <si>
    <t xml:space="preserve">n/a</t>
  </si>
  <si>
    <t xml:space="preserve">Watch (data-limited)</t>
  </si>
  <si>
    <t xml:space="preserve">Urbano**</t>
  </si>
  <si>
    <t xml:space="preserve">+53.2% (FY25-&gt;FY26)</t>
  </si>
  <si>
    <t xml:space="preserve">*Nobero: FY25 revenue Rs 133.5cr now confirmed via Motilal Oswal (company-sourced), replacing an earlier unreliable GMV estimate — but no margin or prior-year figure is disclosed, so it still can't be classified.
**Urbano: revenue growth accelerating (+16.7% FY24-&gt;FY25, +53.2% FY25-&gt;FY26); ABDFVL moved to 100% ownership on 17-Sep-2026. No EBITDA margin disclosed yet.</t>
  </si>
  <si>
    <t xml:space="preserve">TMRW Group Trajectory (context, not brand-level)</t>
  </si>
  <si>
    <t xml:space="preserve">Q3 FY25 -&gt; Q3 FY26: TMRW's official segment EBITDA margin improved from -33.0% to -23.7%, roughly 900bps YoY, on 29% ex-Wrogn revenue growth. Management describes this as losses having "now peaked." See the TMRW Trajectory tab for the full quarterly series and the Recommendation Model tab for how this affects the Wrogn call.</t>
  </si>
  <si>
    <t xml:space="preserve">Headline Recommendation</t>
  </si>
  <si>
    <t xml:space="preserve">1) SCALE — TIGC: revenue doubled (+101%) with the best EBITDA margin in the portfolio (-6.4%). Deserves the next round of marketing and offline capex.
2) FIX — Bewakoof: revenue nearly flat (+8%) but losses fell 29% purely from cost discipline. Hold spend, keep tightening opex.
3) CUT/HARVEST, WITH A CAVEAT — Wrogn: FY25 showed a 2nd straight year of revenue decline (-9%) with losses growing 32% and ad spend up 63% without a sales response. That evidence still stands. But TMRW's Q3 FY26 group-level margin has since improved ~900bps — Wrogn's own FY26 numbers are not separately disclosed, so recommend requesting Wrogn-specific FY26 data before finalizing any spend freeze, rather than acting on FY25 data alone.
4) WATCH — Nobero &amp; Urbano: both now have real (non-GMV) revenue figures, but neither discloses a margin. Urbano's growth is accelerating and ABFRL just took it to 100% ownership — worth a dedicated diagnostic once its P&amp;L is available.</t>
  </si>
  <si>
    <t xml:space="preserve">Brand-Level Financials — FY24 vs FY25 (Rs Crore)</t>
  </si>
  <si>
    <t xml:space="preserve">Revenue FY24</t>
  </si>
  <si>
    <t xml:space="preserve">Revenue FY25</t>
  </si>
  <si>
    <t xml:space="preserve">Growth YoY</t>
  </si>
  <si>
    <t xml:space="preserve">EBITDA Margin FY25</t>
  </si>
  <si>
    <t xml:space="preserve">Net Loss FY24</t>
  </si>
  <si>
    <t xml:space="preserve">Net Loss FY25</t>
  </si>
  <si>
    <t xml:space="preserve">Loss Change YoY</t>
  </si>
  <si>
    <t xml:space="preserve">Source</t>
  </si>
  <si>
    <t xml:space="preserve">Entrackr 15-Jan-26 (RoC filing); revenue cross-checked vs Motilal Oswal 23-Sep-25 (INR 2042m). Flipped Rs 5cr profit -&gt; Rs 23cr loss as material costs +142%, job-work +193%</t>
  </si>
  <si>
    <t xml:space="preserve">Inc42 31-Oct-25 (RoC filing); cross-checked vs Motilal Oswal (INR 1730m). EBITDA loss improved 38% to Rs 57cr; ad spend flat at Rs 48.6cr</t>
  </si>
  <si>
    <t xml:space="preserve">Inc42/Entrackr 25-Sep-25 (RoC filing). Total income incl. other income Rs 232.3cr per Motilal Oswal (INR 2323m). Ad spend +63% YoY despite falling sales; accumulated losses Rs 709cr</t>
  </si>
  <si>
    <t xml:space="preserve">Nobero</t>
  </si>
  <si>
    <t xml:space="preserve">Motilal Oswal 23-Sep-25 (INR 1335m), company-sourced. REPLACES an earlier unreliable GMV-tracker estimate of ~Rs 500cr. No FY24 comparison or margin disclosed.</t>
  </si>
  <si>
    <t xml:space="preserve">Urbano (FY25 shown; see Trajectory tab for 3yr)</t>
  </si>
  <si>
    <t xml:space="preserve">ABFRL SE intimation 17-Sep-26, Annexure A. FY26 revenue Rs 119.38cr (+53.2% YoY) — see 'Urbano Trend' tab. ABDFVL raised stake 84.38% -&gt; 100% same day.</t>
  </si>
  <si>
    <t xml:space="preserve">TMRW consolidated (segment-reported): see 'TMRW Trajectory' tab for the full quarterly series and sourcing.</t>
  </si>
  <si>
    <t xml:space="preserve">Classification Logic</t>
  </si>
  <si>
    <t xml:space="preserve">Axis 1: Revenue growth YoY (FY25 vs FY24). Axis 2: EBITDA margin (FY25). Rule-based split, appropriate for 3 comparable data points — Nobero and Urbano are excluded (no disclosed margin).</t>
  </si>
  <si>
    <t xml:space="preserve">Quadrant</t>
  </si>
  <si>
    <t xml:space="preserve">Rationale</t>
  </si>
  <si>
    <t xml:space="preserve">The Indian Garage Co</t>
  </si>
  <si>
    <t xml:space="preserve">Highest growth (+101%) + best portfolio margin (-6.4%) = closest to profitable scale</t>
  </si>
  <si>
    <t xml:space="preserve">Modest growth (+8%) but margin improved 2,500 bps YoY via cost control — protect it, don't overspend yet</t>
  </si>
  <si>
    <t xml:space="preserve">Revenue down 2 years running, losses widening, ad spend +63% without a sales response — FY25 evidence; group-level TMRW has since improved (see Recommendation tab)</t>
  </si>
  <si>
    <t xml:space="preserve">TMRW Group Trajectory — Is the Loss Actually Peaking?</t>
  </si>
  <si>
    <t xml:space="preserve">Official segment-reported figures from the Q3 FY26 Investor Presentation. Revenue growth figures are stated ex-Wrogn by the company; EBITDA and margin are as reported in the segmental table.</t>
  </si>
  <si>
    <t xml:space="preserve">Period</t>
  </si>
  <si>
    <t xml:space="preserve">Revenue (Rs Cr)</t>
  </si>
  <si>
    <t xml:space="preserve">EBITDA (Rs Cr)</t>
  </si>
  <si>
    <t xml:space="preserve">EBITDA Margin</t>
  </si>
  <si>
    <t xml:space="preserve">Note</t>
  </si>
  <si>
    <t xml:space="preserve">Q3 FY25</t>
  </si>
  <si>
    <t xml:space="preserve">Base quarter</t>
  </si>
  <si>
    <t xml:space="preserve">Q3 FY26</t>
  </si>
  <si>
    <t xml:space="preserve">+29% YoY revenue (ex-Wrogn); margin +~900bps YoY; mgmt: "TMRW losses now peaked"</t>
  </si>
  <si>
    <t xml:space="preserve">9M FY25</t>
  </si>
  <si>
    <t xml:space="preserve">Base period</t>
  </si>
  <si>
    <t xml:space="preserve">9M FY26</t>
  </si>
  <si>
    <t xml:space="preserve">+31% YoY revenue (ex-Wrogn)</t>
  </si>
  <si>
    <t xml:space="preserve">Margin improvement, Q3 FY25 -&gt; Q3 FY26 (percentage points)</t>
  </si>
  <si>
    <t xml:space="preserve">Reading this: the brand-level classification on the Summary/2x2 tabs is built on FY25 annual data because that is the only granularity with individual-brand margins. This tab is the group-level counterpart — it shows TMRW as a whole is executing a turnaround since FY25, even though we cannot yet confirm whether Wrogn specifically is participating in that improvement.</t>
  </si>
  <si>
    <t xml:space="preserve">Urbano — 3-Year Revenue Trend</t>
  </si>
  <si>
    <t xml:space="preserve">Urbano is owned via Imperial Online Services Pvt Ltd. ABFRL's subsidiary ABDFVL increased its stake from 84.38% to 100% on 17-Sep-2026, making Imperial a wholly-owned step-down subsidiary. No EBITDA margin is disclosed for Urbano, so it cannot be placed on the 2x2 classification yet.</t>
  </si>
  <si>
    <t xml:space="preserve">Fiscal Year</t>
  </si>
  <si>
    <t xml:space="preserve">FY24</t>
  </si>
  <si>
    <t xml:space="preserve">Source: ABFRL SE intimation, 17-Sep-2026, Annexure A (RoC-sourced 3-yr history)</t>
  </si>
  <si>
    <t xml:space="preserve">FY25</t>
  </si>
  <si>
    <t xml:space="preserve">FY26</t>
  </si>
  <si>
    <t xml:space="preserve">Growth is accelerating: +16.7% (FY24-&gt;FY25) then +53.2% (FY25-&gt;FY26) — worth a dedicated diagnostic once profitability data is disclosed.</t>
  </si>
  <si>
    <t xml:space="preserve">Scenario: Reallocate Wrogn's Incremental Ad Spend to TIGC</t>
  </si>
  <si>
    <t xml:space="preserve">Wrogn's FY25 ad/promo spend rose 63% YoY while revenue fell 9% — that spend did not convert. TIGC's EBITDA margin (-6.4%) is closest to breakeven in the portfolio. This scenario models freezing Wrogn's incremental FY25 spend and redeploying it into TIGC, holding TIGC's FY25 margin constant. IMPORTANT CAVEAT: TMRW's group-level margin has since improved ~900bps (Q3 FY26 vs Q3 FY25) — Wrogn's own FY26 performance is not separately disclosed, so treat this as a scenario built on the last confirmed Wrogn-specific data, not a current recommendation to execute today.</t>
  </si>
  <si>
    <t xml:space="preserve">Key Assumptions (editable — blue cells on yellow fill)</t>
  </si>
  <si>
    <t xml:space="preserve">Wrogn FY25 ad/promo spend (Rs Cr)</t>
  </si>
  <si>
    <t xml:space="preserve">Consistent with Entrackr's reported +63% YoY increase</t>
  </si>
  <si>
    <t xml:space="preserve">Wrogn FY24 ad/promo spend (Rs Cr)</t>
  </si>
  <si>
    <t xml:space="preserve">Implied base before the 63% YoY increase</t>
  </si>
  <si>
    <t xml:space="preserve">TIGC revenue generated per Rs 1 of incremental ad spend (assumed)</t>
  </si>
  <si>
    <t xml:space="preserve">Placeholder — TIGC's ad spend isn't separately disclosed; assumes efficiency consistent with its FY25 revenue-doubling. State as an assumption when presenting.</t>
  </si>
  <si>
    <t xml:space="preserve">TIGC FY25 EBITDA margin</t>
  </si>
  <si>
    <t xml:space="preserve">From Brand Financials tab</t>
  </si>
  <si>
    <t xml:space="preserve">Reallocatable spend</t>
  </si>
  <si>
    <t xml:space="preserve">Projected Impact</t>
  </si>
  <si>
    <t xml:space="preserve">Incremental TIGC revenue from reallocated spend (Rs Cr)</t>
  </si>
  <si>
    <t xml:space="preserve">Incremental TIGC EBITDA impact (Rs Cr)</t>
  </si>
  <si>
    <t xml:space="preserve">Wrogn EBITDA impact of freezing incremental spend (Rs Cr; spend removed = loss avoided 1:1)</t>
  </si>
  <si>
    <t xml:space="preserve">Net portfolio EBITDA improvement vs. FY25 base (Rs Cr)</t>
  </si>
  <si>
    <t xml:space="preserve">Read: this is a directional model on FY25 data, not a current recommendation. Before executing, confirm (a) TIGC's actual ad-spend efficiency, not the assumption used here, and (b) Wrogn's FY26 revenue and margin trend specifically, since the group-level TMRW recovery could mean Wrogn's individual picture has already changed since this evidence was filed.</t>
  </si>
  <si>
    <t xml:space="preserve">Detail</t>
  </si>
  <si>
    <t xml:space="preserve">ABFRL/ABLBL Q4 FY25 Results PR</t>
  </si>
  <si>
    <t xml:space="preserve">23 May 2025 — Demerged ABFRL Q4 FY25: revenue Rs1719cr (+9%), EBITDA Rs295cr (+202%); FY25 full year revenue Rs7355cr (+14%), EBITDA Rs854cr (+64%); TMRW portfolio +27% YoY in Q4, 16 stores</t>
  </si>
  <si>
    <t xml:space="preserve">Motilal Oswal Institutional Equities</t>
  </si>
  <si>
    <t xml:space="preserve">23 Sep 2025 — Brand-level revenue/valuation table (Exhibit 5) sourced from Company data: TIGC, Bewakoof, Wrogn, Nobero, Urbano, others; TMRW segment financial projections FY23-28E</t>
  </si>
  <si>
    <t xml:space="preserve">ABFRL SE Intimation re: Imperial/Urbano</t>
  </si>
  <si>
    <t xml:space="preserve">17 Sep 2026 — ABDFVL increased stake in Imperial Online Services (Urbano brand) from 84.38% to 100%; 3-year revenue history Rs66.78cr/77.93cr/119.38cr (FY24/25/26)</t>
  </si>
  <si>
    <t xml:space="preserve">ABFRL AGM Chairman's Speech</t>
  </si>
  <si>
    <t xml:space="preserve">FY26 — ABFRL consolidated revenue Rs8177cr (+11% YoY); TMRW +34% revenue growth, 120 stores; Ethnic revenue Rs2227cr (+14%), margin +560bps to 10.8%</t>
  </si>
  <si>
    <t xml:space="preserve">ABFRL Q3 FY26 Investor Presentation</t>
  </si>
  <si>
    <t xml:space="preserve">Board meeting 5 Feb 2026 — Q3 FY26 segmental: TMRW revenue Rs242cr (+29% YoY ex-Wrogn), EBITDA -Rs57cr, margin -23.7% (vs -33.0% Q3FY25); ABFRL consolidated Rs2374cr (+8%), EBITDA Rs370cr (+13%)</t>
  </si>
  <si>
    <t xml:space="preserve">Inc42 / Entrackr (RoC filings)</t>
  </si>
  <si>
    <t xml:space="preserve">TIGC (15 Jan 2026), Bewakoof (31 Oct 2025), Wrogn (25 Sep 2025) — brand-level FY24/FY25 P&amp;L, retained as the finest-grain source for individual-brand classification</t>
  </si>
</sst>
</file>

<file path=xl/styles.xml><?xml version="1.0" encoding="utf-8"?>
<styleSheet xmlns="http://schemas.openxmlformats.org/spreadsheetml/2006/main">
  <numFmts count="4">
    <numFmt numFmtId="164" formatCode="General"/>
    <numFmt numFmtId="165" formatCode="0.0%;\(0.0%\);\-"/>
    <numFmt numFmtId="166" formatCode="#,##0.0;\(#,##0.0\);\-"/>
    <numFmt numFmtId="167" formatCode="0.0"/>
  </numFmts>
  <fonts count="16">
    <font>
      <sz val="11"/>
      <color theme="1"/>
      <name val="Calibri"/>
      <family val="2"/>
      <charset val="1"/>
    </font>
    <font>
      <sz val="10"/>
      <name val="Arial"/>
      <family val="0"/>
    </font>
    <font>
      <sz val="10"/>
      <name val="Arial"/>
      <family val="0"/>
    </font>
    <font>
      <sz val="10"/>
      <name val="Arial"/>
      <family val="0"/>
    </font>
    <font>
      <b val="true"/>
      <sz val="18"/>
      <color rgb="FF1E2761"/>
      <name val="Arial"/>
      <family val="0"/>
      <charset val="1"/>
    </font>
    <font>
      <i val="true"/>
      <sz val="9"/>
      <color rgb="FF666666"/>
      <name val="Arial"/>
      <family val="0"/>
      <charset val="1"/>
    </font>
    <font>
      <b val="true"/>
      <sz val="12"/>
      <color rgb="FF1E2761"/>
      <name val="Arial"/>
      <family val="0"/>
      <charset val="1"/>
    </font>
    <font>
      <sz val="10"/>
      <name val="Arial"/>
      <family val="0"/>
      <charset val="1"/>
    </font>
    <font>
      <b val="true"/>
      <sz val="10"/>
      <color rgb="FFFFFFFF"/>
      <name val="Arial"/>
      <family val="0"/>
      <charset val="1"/>
    </font>
    <font>
      <b val="true"/>
      <sz val="10"/>
      <name val="Arial"/>
      <family val="0"/>
      <charset val="1"/>
    </font>
    <font>
      <sz val="10"/>
      <color rgb="FF008000"/>
      <name val="Arial"/>
      <family val="0"/>
      <charset val="1"/>
    </font>
    <font>
      <b val="true"/>
      <sz val="14"/>
      <color rgb="FF1E2761"/>
      <name val="Arial"/>
      <family val="0"/>
      <charset val="1"/>
    </font>
    <font>
      <b val="true"/>
      <sz val="11"/>
      <name val="Arial"/>
      <family val="0"/>
      <charset val="1"/>
    </font>
    <font>
      <sz val="10"/>
      <color rgb="FF0000FF"/>
      <name val="Arial"/>
      <family val="0"/>
      <charset val="1"/>
    </font>
    <font>
      <sz val="10"/>
      <color rgb="FF000000"/>
      <name val="Arial"/>
      <family val="0"/>
      <charset val="1"/>
    </font>
    <font>
      <b val="true"/>
      <sz val="12"/>
      <color rgb="FF008000"/>
      <name val="Arial"/>
      <family val="0"/>
      <charset val="1"/>
    </font>
  </fonts>
  <fills count="9">
    <fill>
      <patternFill patternType="none"/>
    </fill>
    <fill>
      <patternFill patternType="gray125"/>
    </fill>
    <fill>
      <patternFill patternType="solid">
        <fgColor rgb="FF1E2761"/>
        <bgColor rgb="FF333333"/>
      </patternFill>
    </fill>
    <fill>
      <patternFill patternType="solid">
        <fgColor rgb="FFC6EFCE"/>
        <bgColor rgb="FFD9D9D9"/>
      </patternFill>
    </fill>
    <fill>
      <patternFill patternType="solid">
        <fgColor rgb="FFFFEB9C"/>
        <bgColor rgb="FFFFFFCC"/>
      </patternFill>
    </fill>
    <fill>
      <patternFill patternType="solid">
        <fgColor rgb="FFFFC7CE"/>
        <bgColor rgb="FFD9D9D9"/>
      </patternFill>
    </fill>
    <fill>
      <patternFill patternType="solid">
        <fgColor rgb="FFD9D9D9"/>
        <bgColor rgb="FFCADCFC"/>
      </patternFill>
    </fill>
    <fill>
      <patternFill patternType="solid">
        <fgColor rgb="FFCADCFC"/>
        <bgColor rgb="FFD9D9D9"/>
      </patternFill>
    </fill>
    <fill>
      <patternFill patternType="solid">
        <fgColor rgb="FFFFFF00"/>
        <bgColor rgb="FFFFFF00"/>
      </patternFill>
    </fill>
  </fills>
  <borders count="2">
    <border diagonalUp="false" diagonalDown="false">
      <left/>
      <right/>
      <top/>
      <bottom/>
      <diagonal/>
    </border>
    <border diagonalUp="false" diagonalDown="false">
      <left style="thin">
        <color rgb="FFB7B7B7"/>
      </left>
      <right style="thin">
        <color rgb="FFB7B7B7"/>
      </right>
      <top style="thin">
        <color rgb="FFB7B7B7"/>
      </top>
      <bottom style="thin">
        <color rgb="FFB7B7B7"/>
      </bottom>
      <diagonal/>
    </border>
  </borders>
  <cellStyleXfs count="20">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cellStyleXfs>
  <cellXfs count="39">
    <xf numFmtId="164" fontId="0" fillId="0" borderId="0" xfId="0" applyFont="false" applyBorder="false" applyAlignment="false" applyProtection="false">
      <alignment horizontal="general" vertical="bottom" textRotation="0" wrapText="false" indent="0" shrinkToFit="false"/>
      <protection locked="true" hidden="false"/>
    </xf>
    <xf numFmtId="164" fontId="4" fillId="0" borderId="0" xfId="0" applyFont="true" applyBorder="true" applyAlignment="false" applyProtection="false">
      <alignment horizontal="general" vertical="bottom" textRotation="0" wrapText="false" indent="0" shrinkToFit="false"/>
      <protection locked="true" hidden="false"/>
    </xf>
    <xf numFmtId="164" fontId="5" fillId="0" borderId="0" xfId="0" applyFont="true" applyBorder="true" applyAlignment="true" applyProtection="false">
      <alignment horizontal="general" vertical="bottom" textRotation="0" wrapText="true" indent="0" shrinkToFit="false"/>
      <protection locked="true" hidden="false"/>
    </xf>
    <xf numFmtId="164" fontId="6" fillId="0" borderId="0" xfId="0" applyFont="true" applyBorder="true" applyAlignment="false" applyProtection="false">
      <alignment horizontal="general" vertical="bottom" textRotation="0" wrapText="false" indent="0" shrinkToFit="false"/>
      <protection locked="true" hidden="false"/>
    </xf>
    <xf numFmtId="164" fontId="7" fillId="0" borderId="0" xfId="0" applyFont="true" applyBorder="true" applyAlignment="true" applyProtection="false">
      <alignment horizontal="general" vertical="top" textRotation="0" wrapText="true" indent="0" shrinkToFit="false"/>
      <protection locked="true" hidden="false"/>
    </xf>
    <xf numFmtId="164" fontId="8" fillId="2" borderId="1" xfId="0" applyFont="true" applyBorder="true" applyAlignment="true" applyProtection="false">
      <alignment horizontal="center" vertical="center" textRotation="0" wrapText="true" indent="0" shrinkToFit="false"/>
      <protection locked="true" hidden="false"/>
    </xf>
    <xf numFmtId="164" fontId="9" fillId="0" borderId="1" xfId="0" applyFont="true" applyBorder="true" applyAlignment="false" applyProtection="false">
      <alignment horizontal="general" vertical="bottom" textRotation="0" wrapText="false" indent="0" shrinkToFit="false"/>
      <protection locked="true" hidden="false"/>
    </xf>
    <xf numFmtId="165" fontId="10" fillId="0" borderId="1" xfId="0" applyFont="true" applyBorder="true" applyAlignment="true" applyProtection="false">
      <alignment horizontal="center" vertical="bottom" textRotation="0" wrapText="false" indent="0" shrinkToFit="false"/>
      <protection locked="true" hidden="false"/>
    </xf>
    <xf numFmtId="164" fontId="9" fillId="3" borderId="1" xfId="0" applyFont="true" applyBorder="true" applyAlignment="true" applyProtection="false">
      <alignment horizontal="center" vertical="bottom" textRotation="0" wrapText="false" indent="0" shrinkToFit="false"/>
      <protection locked="true" hidden="false"/>
    </xf>
    <xf numFmtId="164" fontId="9" fillId="4" borderId="1" xfId="0" applyFont="true" applyBorder="true" applyAlignment="true" applyProtection="false">
      <alignment horizontal="center" vertical="bottom" textRotation="0" wrapText="false" indent="0" shrinkToFit="false"/>
      <protection locked="true" hidden="false"/>
    </xf>
    <xf numFmtId="164" fontId="9" fillId="5" borderId="1" xfId="0" applyFont="true" applyBorder="true" applyAlignment="true" applyProtection="false">
      <alignment horizontal="center" vertical="bottom" textRotation="0" wrapText="false" indent="0" shrinkToFit="false"/>
      <protection locked="true" hidden="false"/>
    </xf>
    <xf numFmtId="164" fontId="5" fillId="0" borderId="1" xfId="0" applyFont="true" applyBorder="true" applyAlignment="true" applyProtection="false">
      <alignment horizontal="center" vertical="bottom" textRotation="0" wrapText="false" indent="0" shrinkToFit="false"/>
      <protection locked="true" hidden="false"/>
    </xf>
    <xf numFmtId="164" fontId="9" fillId="6" borderId="1" xfId="0" applyFont="true" applyBorder="true" applyAlignment="true" applyProtection="false">
      <alignment horizontal="center" vertical="bottom" textRotation="0" wrapText="false" indent="0" shrinkToFit="false"/>
      <protection locked="true" hidden="false"/>
    </xf>
    <xf numFmtId="164" fontId="5" fillId="0" borderId="0" xfId="0" applyFont="true" applyBorder="true" applyAlignment="true" applyProtection="false">
      <alignment horizontal="general" vertical="top" textRotation="0" wrapText="true" indent="0" shrinkToFit="false"/>
      <protection locked="true" hidden="false"/>
    </xf>
    <xf numFmtId="164" fontId="11" fillId="0" borderId="0" xfId="0" applyFont="true" applyBorder="true" applyAlignment="false" applyProtection="false">
      <alignment horizontal="general" vertical="bottom" textRotation="0" wrapText="false" indent="0" shrinkToFit="false"/>
      <protection locked="true" hidden="false"/>
    </xf>
    <xf numFmtId="164" fontId="12" fillId="7" borderId="0" xfId="0" applyFont="true" applyBorder="false" applyAlignment="false" applyProtection="false">
      <alignment horizontal="general" vertical="bottom" textRotation="0" wrapText="false" indent="0" shrinkToFit="false"/>
      <protection locked="true" hidden="false"/>
    </xf>
    <xf numFmtId="164" fontId="0" fillId="7" borderId="1" xfId="0" applyFont="false" applyBorder="true" applyAlignment="false" applyProtection="false">
      <alignment horizontal="general" vertical="bottom" textRotation="0" wrapText="false" indent="0" shrinkToFit="false"/>
      <protection locked="true" hidden="false"/>
    </xf>
    <xf numFmtId="166" fontId="13" fillId="7" borderId="1" xfId="0" applyFont="true" applyBorder="true" applyAlignment="true" applyProtection="false">
      <alignment horizontal="right" vertical="bottom" textRotation="0" wrapText="false" indent="0" shrinkToFit="false"/>
      <protection locked="true" hidden="false"/>
    </xf>
    <xf numFmtId="165" fontId="14" fillId="7" borderId="1" xfId="0" applyFont="true" applyBorder="true" applyAlignment="true" applyProtection="false">
      <alignment horizontal="right" vertical="bottom" textRotation="0" wrapText="false" indent="0" shrinkToFit="false"/>
      <protection locked="true" hidden="false"/>
    </xf>
    <xf numFmtId="165" fontId="13" fillId="7" borderId="1" xfId="0" applyFont="true" applyBorder="true" applyAlignment="true" applyProtection="false">
      <alignment horizontal="right" vertical="bottom" textRotation="0" wrapText="false" indent="0" shrinkToFit="false"/>
      <protection locked="true" hidden="false"/>
    </xf>
    <xf numFmtId="164" fontId="5" fillId="7" borderId="1" xfId="0" applyFont="true" applyBorder="true" applyAlignment="true" applyProtection="false">
      <alignment horizontal="general" vertical="center" textRotation="0" wrapText="true" indent="0" shrinkToFit="false"/>
      <protection locked="true" hidden="false"/>
    </xf>
    <xf numFmtId="164" fontId="5" fillId="7" borderId="1" xfId="0" applyFont="true" applyBorder="true" applyAlignment="true" applyProtection="false">
      <alignment horizontal="right" vertical="bottom" textRotation="0" wrapText="false" indent="0" shrinkToFit="false"/>
      <protection locked="true" hidden="false"/>
    </xf>
    <xf numFmtId="164" fontId="7" fillId="0" borderId="1" xfId="0" applyFont="true" applyBorder="true" applyAlignment="true" applyProtection="false">
      <alignment horizontal="general" vertical="center" textRotation="0" wrapText="true" indent="0" shrinkToFit="false"/>
      <protection locked="true" hidden="false"/>
    </xf>
    <xf numFmtId="166" fontId="13" fillId="0" borderId="1" xfId="0" applyFont="true" applyBorder="true" applyAlignment="true" applyProtection="false">
      <alignment horizontal="right" vertical="bottom" textRotation="0" wrapText="false" indent="0" shrinkToFit="false"/>
      <protection locked="true" hidden="false"/>
    </xf>
    <xf numFmtId="165" fontId="13" fillId="0" borderId="1" xfId="0" applyFont="true" applyBorder="true" applyAlignment="true" applyProtection="false">
      <alignment horizontal="right" vertical="bottom" textRotation="0" wrapText="false" indent="0" shrinkToFit="false"/>
      <protection locked="true" hidden="false"/>
    </xf>
    <xf numFmtId="164" fontId="9" fillId="0" borderId="0" xfId="0" applyFont="true" applyBorder="false" applyAlignment="true" applyProtection="false">
      <alignment horizontal="general" vertical="center" textRotation="0" wrapText="true" indent="0" shrinkToFit="false"/>
      <protection locked="true" hidden="false"/>
    </xf>
    <xf numFmtId="167" fontId="15" fillId="0" borderId="0" xfId="0" applyFont="true" applyBorder="false" applyAlignment="true" applyProtection="false">
      <alignment horizontal="right" vertical="bottom" textRotation="0" wrapText="false" indent="0" shrinkToFit="false"/>
      <protection locked="true" hidden="false"/>
    </xf>
    <xf numFmtId="164" fontId="5" fillId="0" borderId="1" xfId="0" applyFont="true" applyBorder="true" applyAlignment="true" applyProtection="false">
      <alignment horizontal="general" vertical="top" textRotation="0" wrapText="true" indent="0" shrinkToFit="false"/>
      <protection locked="true" hidden="false"/>
    </xf>
    <xf numFmtId="165" fontId="14" fillId="0" borderId="1" xfId="0" applyFont="true" applyBorder="true" applyAlignment="true" applyProtection="false">
      <alignment horizontal="right" vertical="bottom" textRotation="0" wrapText="false" indent="0" shrinkToFit="false"/>
      <protection locked="true" hidden="false"/>
    </xf>
    <xf numFmtId="164" fontId="9" fillId="0" borderId="1" xfId="0" applyFont="true" applyBorder="true" applyAlignment="true" applyProtection="false">
      <alignment horizontal="general" vertical="center" textRotation="0" wrapText="true" indent="0" shrinkToFit="false"/>
      <protection locked="true" hidden="false"/>
    </xf>
    <xf numFmtId="166" fontId="13" fillId="8" borderId="1" xfId="0" applyFont="true" applyBorder="true" applyAlignment="true" applyProtection="false">
      <alignment horizontal="right" vertical="bottom" textRotation="0" wrapText="false" indent="0" shrinkToFit="false"/>
      <protection locked="true" hidden="false"/>
    </xf>
    <xf numFmtId="164" fontId="5" fillId="0" borderId="1" xfId="0" applyFont="true" applyBorder="true" applyAlignment="true" applyProtection="false">
      <alignment horizontal="general" vertical="center" textRotation="0" wrapText="true" indent="0" shrinkToFit="false"/>
      <protection locked="true" hidden="false"/>
    </xf>
    <xf numFmtId="165" fontId="13" fillId="8" borderId="1" xfId="0" applyFont="true" applyBorder="true" applyAlignment="true" applyProtection="false">
      <alignment horizontal="right" vertical="bottom" textRotation="0" wrapText="false" indent="0" shrinkToFit="false"/>
      <protection locked="true" hidden="false"/>
    </xf>
    <xf numFmtId="166" fontId="14" fillId="0" borderId="1" xfId="0" applyFont="true" applyBorder="true" applyAlignment="true" applyProtection="false">
      <alignment horizontal="right" vertical="bottom" textRotation="0" wrapText="false" indent="0" shrinkToFit="false"/>
      <protection locked="true" hidden="false"/>
    </xf>
    <xf numFmtId="166" fontId="12" fillId="0" borderId="1" xfId="0" applyFont="true" applyBorder="true" applyAlignment="true" applyProtection="false">
      <alignment horizontal="right" vertical="bottom" textRotation="0" wrapText="false" indent="0" shrinkToFit="false"/>
      <protection locked="true" hidden="false"/>
    </xf>
    <xf numFmtId="164" fontId="12" fillId="0" borderId="1" xfId="0" applyFont="true" applyBorder="true" applyAlignment="true" applyProtection="false">
      <alignment horizontal="general" vertical="center" textRotation="0" wrapText="true" indent="0" shrinkToFit="false"/>
      <protection locked="true" hidden="false"/>
    </xf>
    <xf numFmtId="166" fontId="12" fillId="3" borderId="1" xfId="0" applyFont="true" applyBorder="true" applyAlignment="true" applyProtection="false">
      <alignment horizontal="right" vertical="bottom" textRotation="0" wrapText="false" indent="0" shrinkToFit="false"/>
      <protection locked="true" hidden="false"/>
    </xf>
    <xf numFmtId="164" fontId="9" fillId="0" borderId="1" xfId="0" applyFont="true" applyBorder="true" applyAlignment="true" applyProtection="false">
      <alignment horizontal="general" vertical="top" textRotation="0" wrapText="true" indent="0" shrinkToFit="false"/>
      <protection locked="true" hidden="false"/>
    </xf>
    <xf numFmtId="164" fontId="7" fillId="0" borderId="1" xfId="0" applyFont="true" applyBorder="true" applyAlignment="true" applyProtection="false">
      <alignment horizontal="general" vertical="top" textRotation="0" wrapText="true" indent="0" shrinkToFit="false"/>
      <protection locked="true" hidden="false"/>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colors>
    <indexedColors>
      <rgbColor rgb="FF000000"/>
      <rgbColor rgb="FFFFFFFF"/>
      <rgbColor rgb="FFFF0000"/>
      <rgbColor rgb="FF00FF00"/>
      <rgbColor rgb="FF0000FF"/>
      <rgbColor rgb="FFFFFF00"/>
      <rgbColor rgb="FFFF00FF"/>
      <rgbColor rgb="FF00FFFF"/>
      <rgbColor rgb="FF800000"/>
      <rgbColor rgb="FF008000"/>
      <rgbColor rgb="FF000080"/>
      <rgbColor rgb="FF808000"/>
      <rgbColor rgb="FF800080"/>
      <rgbColor rgb="FF008080"/>
      <rgbColor rgb="FFB7B7B7"/>
      <rgbColor rgb="FF808080"/>
      <rgbColor rgb="FF9999FF"/>
      <rgbColor rgb="FF993366"/>
      <rgbColor rgb="FFFFFFCC"/>
      <rgbColor rgb="FFD9D9D9"/>
      <rgbColor rgb="FF660066"/>
      <rgbColor rgb="FFFF8080"/>
      <rgbColor rgb="FF0066CC"/>
      <rgbColor rgb="FFCADCFC"/>
      <rgbColor rgb="FF000080"/>
      <rgbColor rgb="FFFF00FF"/>
      <rgbColor rgb="FFFFFF00"/>
      <rgbColor rgb="FF00FFFF"/>
      <rgbColor rgb="FF800080"/>
      <rgbColor rgb="FF800000"/>
      <rgbColor rgb="FF008080"/>
      <rgbColor rgb="FF0000FF"/>
      <rgbColor rgb="FF00CCFF"/>
      <rgbColor rgb="FFCCFFFF"/>
      <rgbColor rgb="FFC6EFCE"/>
      <rgbColor rgb="FFFFEB9C"/>
      <rgbColor rgb="FF99CCFF"/>
      <rgbColor rgb="FFFF99CC"/>
      <rgbColor rgb="FFCC99FF"/>
      <rgbColor rgb="FFFFC7CE"/>
      <rgbColor rgb="FF3366FF"/>
      <rgbColor rgb="FF33CCCC"/>
      <rgbColor rgb="FF99CC00"/>
      <rgbColor rgb="FFFFCC00"/>
      <rgbColor rgb="FFFF9900"/>
      <rgbColor rgb="FFFF6600"/>
      <rgbColor rgb="FF666666"/>
      <rgbColor rgb="FF969696"/>
      <rgbColor rgb="FF1E2761"/>
      <rgbColor rgb="FF339966"/>
      <rgbColor rgb="FF003300"/>
      <rgbColor rgb="FF333300"/>
      <rgbColor rgb="FF993300"/>
      <rgbColor rgb="FF993366"/>
      <rgbColor rgb="FF333399"/>
      <rgbColor rgb="FF333333"/>
    </indexedColors>
  </color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worksheet" Target="worksheets/sheet2.xml"/><Relationship Id="rId5" Type="http://schemas.openxmlformats.org/officeDocument/2006/relationships/worksheet" Target="worksheets/sheet3.xml"/><Relationship Id="rId6" Type="http://schemas.openxmlformats.org/officeDocument/2006/relationships/worksheet" Target="worksheets/sheet4.xml"/><Relationship Id="rId7" Type="http://schemas.openxmlformats.org/officeDocument/2006/relationships/worksheet" Target="worksheets/sheet5.xml"/><Relationship Id="rId8" Type="http://schemas.openxmlformats.org/officeDocument/2006/relationships/worksheet" Target="worksheets/sheet6.xml"/><Relationship Id="rId9" Type="http://schemas.openxmlformats.org/officeDocument/2006/relationships/worksheet" Target="worksheets/sheet7.xml"/><Relationship Id="rId10" Type="http://schemas.openxmlformats.org/officeDocument/2006/relationships/sharedStrings" Target="sharedStrings.xml"/>
</Relationships>
</file>

<file path=xl/theme/theme1.xml><?xml version="1.0" encoding="utf-8"?>
<a:theme xmlns:a="http://schemas.openxmlformats.org/drawingml/2006/main" xmlns:r="http://schemas.openxmlformats.org/officeDocument/2006/relationships"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itchFamily="0" charset="1"/>
        <a:ea typeface=""/>
        <a:cs typeface=""/>
      </a:majorFont>
      <a:minorFont>
        <a:latin typeface="Calibri" pitchFamily="0" charset="1"/>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l="0" t="0" r="0" b="0"/>
        </a:gradFill>
        <a:gradFill>
          <a:gsLst>
            <a:gs pos="0">
              <a:schemeClr val="phClr">
                <a:shade val="51000"/>
              </a:schemeClr>
            </a:gs>
            <a:gs pos="80000">
              <a:schemeClr val="phClr">
                <a:shade val="93000"/>
              </a:schemeClr>
            </a:gs>
            <a:gs pos="100000">
              <a:schemeClr val="phClr">
                <a:shade val="94000"/>
              </a:schemeClr>
            </a:gs>
          </a:gsLst>
          <a:lin ang="16200000" scaled="0"/>
          <a:tileRect l="0" t="0" r="0" b="0"/>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l="0" t="0" r="0" b="0"/>
        </a:gradFill>
        <a:gradFill>
          <a:gsLst>
            <a:gs pos="0">
              <a:schemeClr val="phClr">
                <a:tint val="80000"/>
              </a:schemeClr>
            </a:gs>
            <a:gs pos="100000">
              <a:schemeClr val="phClr">
                <a:shade val="30000"/>
              </a:schemeClr>
            </a:gs>
          </a:gsLst>
          <a:path path="circle">
            <a:fillToRect l="50000" t="50000" r="50000" b="50000"/>
          </a:path>
          <a:tileRect l="0" t="0" r="0" b="0"/>
        </a:gradFill>
      </a:bgFillStyleLst>
    </a:fmtScheme>
  </a:themeElemen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B2:G34"/>
  <sheetViews>
    <sheetView showFormulas="false" showGridLines="false" showRowColHeaders="true" showZeros="true" rightToLeft="false" tabSelected="tru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3"/>
    <col collapsed="false" customWidth="true" hidden="false" outlineLevel="0" max="2" min="2" style="0" width="26"/>
    <col collapsed="false" customWidth="true" hidden="false" outlineLevel="0" max="6" min="3" style="0" width="16"/>
    <col collapsed="false" customWidth="true" hidden="false" outlineLevel="0" max="7" min="7" style="0" width="30"/>
  </cols>
  <sheetData>
    <row r="2" customFormat="false" ht="22.05" hidden="false" customHeight="false" outlineLevel="0" collapsed="false">
      <c r="B2" s="1" t="s">
        <v>0</v>
      </c>
      <c r="C2" s="1"/>
      <c r="D2" s="1"/>
      <c r="E2" s="1"/>
      <c r="F2" s="1"/>
      <c r="G2" s="1"/>
    </row>
    <row r="3" customFormat="false" ht="22.35" hidden="false" customHeight="true" outlineLevel="0" collapsed="false">
      <c r="B3" s="2" t="s">
        <v>1</v>
      </c>
      <c r="C3" s="2"/>
      <c r="D3" s="2"/>
      <c r="E3" s="2"/>
      <c r="F3" s="2"/>
      <c r="G3" s="2"/>
    </row>
    <row r="5" customFormat="false" ht="15" hidden="false" customHeight="false" outlineLevel="0" collapsed="false">
      <c r="B5" s="3" t="s">
        <v>2</v>
      </c>
      <c r="C5" s="3"/>
      <c r="D5" s="3"/>
      <c r="E5" s="3"/>
      <c r="F5" s="3"/>
      <c r="G5" s="3"/>
    </row>
    <row r="6" customFormat="false" ht="75" hidden="false" customHeight="true" outlineLevel="0" collapsed="false">
      <c r="B6" s="4" t="s">
        <v>3</v>
      </c>
      <c r="C6" s="4"/>
      <c r="D6" s="4"/>
      <c r="E6" s="4"/>
      <c r="F6" s="4"/>
      <c r="G6" s="4"/>
    </row>
    <row r="7" customFormat="false" ht="15" hidden="false" customHeight="false" outlineLevel="0" collapsed="false">
      <c r="B7" s="4"/>
      <c r="C7" s="4"/>
      <c r="D7" s="4"/>
      <c r="E7" s="4"/>
      <c r="F7" s="4"/>
      <c r="G7" s="4"/>
    </row>
    <row r="8" customFormat="false" ht="15" hidden="false" customHeight="false" outlineLevel="0" collapsed="false">
      <c r="B8" s="4"/>
      <c r="C8" s="4"/>
      <c r="D8" s="4"/>
      <c r="E8" s="4"/>
      <c r="F8" s="4"/>
      <c r="G8" s="4"/>
    </row>
    <row r="9" customFormat="false" ht="15" hidden="false" customHeight="false" outlineLevel="0" collapsed="false">
      <c r="B9" s="4"/>
      <c r="C9" s="4"/>
      <c r="D9" s="4"/>
      <c r="E9" s="4"/>
      <c r="F9" s="4"/>
      <c r="G9" s="4"/>
    </row>
    <row r="11" customFormat="false" ht="15" hidden="false" customHeight="false" outlineLevel="0" collapsed="false">
      <c r="B11" s="3" t="s">
        <v>4</v>
      </c>
      <c r="C11" s="3"/>
      <c r="D11" s="3"/>
      <c r="E11" s="3"/>
      <c r="F11" s="3"/>
      <c r="G11" s="3"/>
    </row>
    <row r="12" customFormat="false" ht="23.85" hidden="false" customHeight="false" outlineLevel="0" collapsed="false">
      <c r="B12" s="5" t="s">
        <v>5</v>
      </c>
      <c r="C12" s="5" t="s">
        <v>6</v>
      </c>
      <c r="D12" s="5" t="s">
        <v>7</v>
      </c>
      <c r="E12" s="5" t="s">
        <v>8</v>
      </c>
      <c r="F12" s="5" t="s">
        <v>9</v>
      </c>
    </row>
    <row r="13" customFormat="false" ht="15" hidden="false" customHeight="false" outlineLevel="0" collapsed="false">
      <c r="B13" s="6" t="s">
        <v>10</v>
      </c>
      <c r="C13" s="7" t="n">
        <f aca="false">'Brand Financials'!E6</f>
        <v>1.01182266009852</v>
      </c>
      <c r="D13" s="7" t="n">
        <f aca="false">'Brand Financials'!F6</f>
        <v>-0.0637</v>
      </c>
      <c r="E13" s="7" t="s">
        <v>11</v>
      </c>
      <c r="F13" s="8" t="s">
        <v>12</v>
      </c>
    </row>
    <row r="14" customFormat="false" ht="15" hidden="false" customHeight="false" outlineLevel="0" collapsed="false">
      <c r="B14" s="6" t="s">
        <v>13</v>
      </c>
      <c r="C14" s="7" t="n">
        <f aca="false">'Brand Financials'!E12</f>
        <v>0.0752019888129273</v>
      </c>
      <c r="D14" s="7" t="n">
        <f aca="false">'Brand Financials'!F12</f>
        <v>-0.34</v>
      </c>
      <c r="E14" s="7" t="n">
        <f aca="false">'Brand Financials'!I12</f>
        <v>0.290009699321048</v>
      </c>
      <c r="F14" s="9" t="s">
        <v>14</v>
      </c>
    </row>
    <row r="15" customFormat="false" ht="15" hidden="false" customHeight="false" outlineLevel="0" collapsed="false">
      <c r="B15" s="6" t="s">
        <v>15</v>
      </c>
      <c r="C15" s="7" t="n">
        <f aca="false">'Brand Financials'!E18</f>
        <v>-0.0900937627395027</v>
      </c>
      <c r="D15" s="7" t="n">
        <f aca="false">'Brand Financials'!F18</f>
        <v>-0.275</v>
      </c>
      <c r="E15" s="7" t="n">
        <f aca="false">'Brand Financials'!I18</f>
        <v>-0.329225352112676</v>
      </c>
      <c r="F15" s="10" t="s">
        <v>16</v>
      </c>
    </row>
    <row r="16" customFormat="false" ht="15" hidden="false" customHeight="false" outlineLevel="0" collapsed="false">
      <c r="B16" s="6" t="s">
        <v>17</v>
      </c>
      <c r="C16" s="11" t="s">
        <v>18</v>
      </c>
      <c r="D16" s="11" t="s">
        <v>19</v>
      </c>
      <c r="E16" s="11" t="s">
        <v>20</v>
      </c>
      <c r="F16" s="12" t="s">
        <v>21</v>
      </c>
    </row>
    <row r="17" customFormat="false" ht="15" hidden="false" customHeight="false" outlineLevel="0" collapsed="false">
      <c r="B17" s="6" t="s">
        <v>22</v>
      </c>
      <c r="C17" s="11" t="s">
        <v>23</v>
      </c>
      <c r="D17" s="11" t="s">
        <v>19</v>
      </c>
      <c r="E17" s="11" t="s">
        <v>20</v>
      </c>
      <c r="F17" s="12" t="s">
        <v>21</v>
      </c>
    </row>
    <row r="19" customFormat="false" ht="64.5" hidden="false" customHeight="true" outlineLevel="0" collapsed="false">
      <c r="B19" s="13" t="s">
        <v>24</v>
      </c>
      <c r="C19" s="13"/>
      <c r="D19" s="13"/>
      <c r="E19" s="13"/>
      <c r="F19" s="13"/>
      <c r="G19" s="13"/>
    </row>
    <row r="20" customFormat="false" ht="15" hidden="false" customHeight="false" outlineLevel="0" collapsed="false">
      <c r="B20" s="13"/>
      <c r="C20" s="13"/>
      <c r="D20" s="13"/>
      <c r="E20" s="13"/>
      <c r="F20" s="13"/>
      <c r="G20" s="13"/>
    </row>
    <row r="22" customFormat="false" ht="15" hidden="false" customHeight="false" outlineLevel="0" collapsed="false">
      <c r="B22" s="3" t="s">
        <v>25</v>
      </c>
      <c r="C22" s="3"/>
      <c r="D22" s="3"/>
      <c r="E22" s="3"/>
      <c r="F22" s="3"/>
      <c r="G22" s="3"/>
    </row>
    <row r="23" customFormat="false" ht="54.75" hidden="false" customHeight="true" outlineLevel="0" collapsed="false">
      <c r="B23" s="4" t="s">
        <v>26</v>
      </c>
      <c r="C23" s="4"/>
      <c r="D23" s="4"/>
      <c r="E23" s="4"/>
      <c r="F23" s="4"/>
      <c r="G23" s="4"/>
    </row>
    <row r="24" customFormat="false" ht="15" hidden="false" customHeight="false" outlineLevel="0" collapsed="false">
      <c r="B24" s="4"/>
      <c r="C24" s="4"/>
      <c r="D24" s="4"/>
      <c r="E24" s="4"/>
      <c r="F24" s="4"/>
      <c r="G24" s="4"/>
    </row>
    <row r="25" customFormat="false" ht="15" hidden="false" customHeight="false" outlineLevel="0" collapsed="false">
      <c r="B25" s="4"/>
      <c r="C25" s="4"/>
      <c r="D25" s="4"/>
      <c r="E25" s="4"/>
      <c r="F25" s="4"/>
      <c r="G25" s="4"/>
    </row>
    <row r="27" customFormat="false" ht="15" hidden="false" customHeight="false" outlineLevel="0" collapsed="false">
      <c r="B27" s="3" t="s">
        <v>27</v>
      </c>
      <c r="C27" s="3"/>
      <c r="D27" s="3"/>
      <c r="E27" s="3"/>
      <c r="F27" s="3"/>
      <c r="G27" s="3"/>
    </row>
    <row r="28" customFormat="false" ht="154.5" hidden="false" customHeight="true" outlineLevel="0" collapsed="false">
      <c r="B28" s="4" t="s">
        <v>28</v>
      </c>
      <c r="C28" s="4"/>
      <c r="D28" s="4"/>
      <c r="E28" s="4"/>
      <c r="F28" s="4"/>
      <c r="G28" s="4"/>
    </row>
    <row r="29" customFormat="false" ht="15" hidden="false" customHeight="false" outlineLevel="0" collapsed="false">
      <c r="B29" s="4"/>
      <c r="C29" s="4"/>
      <c r="D29" s="4"/>
      <c r="E29" s="4"/>
      <c r="F29" s="4"/>
      <c r="G29" s="4"/>
    </row>
    <row r="30" customFormat="false" ht="15" hidden="false" customHeight="false" outlineLevel="0" collapsed="false">
      <c r="B30" s="4"/>
      <c r="C30" s="4"/>
      <c r="D30" s="4"/>
      <c r="E30" s="4"/>
      <c r="F30" s="4"/>
      <c r="G30" s="4"/>
    </row>
    <row r="31" customFormat="false" ht="15" hidden="false" customHeight="false" outlineLevel="0" collapsed="false">
      <c r="B31" s="4"/>
      <c r="C31" s="4"/>
      <c r="D31" s="4"/>
      <c r="E31" s="4"/>
      <c r="F31" s="4"/>
      <c r="G31" s="4"/>
    </row>
    <row r="32" customFormat="false" ht="15" hidden="false" customHeight="false" outlineLevel="0" collapsed="false">
      <c r="B32" s="4"/>
      <c r="C32" s="4"/>
      <c r="D32" s="4"/>
      <c r="E32" s="4"/>
      <c r="F32" s="4"/>
      <c r="G32" s="4"/>
    </row>
    <row r="33" customFormat="false" ht="15" hidden="false" customHeight="false" outlineLevel="0" collapsed="false">
      <c r="B33" s="4"/>
      <c r="C33" s="4"/>
      <c r="D33" s="4"/>
      <c r="E33" s="4"/>
      <c r="F33" s="4"/>
      <c r="G33" s="4"/>
    </row>
    <row r="34" customFormat="false" ht="15" hidden="false" customHeight="false" outlineLevel="0" collapsed="false">
      <c r="B34" s="4"/>
      <c r="C34" s="4"/>
      <c r="D34" s="4"/>
      <c r="E34" s="4"/>
      <c r="F34" s="4"/>
      <c r="G34" s="4"/>
    </row>
  </sheetData>
  <mergeCells count="10">
    <mergeCell ref="B2:G2"/>
    <mergeCell ref="B3:G3"/>
    <mergeCell ref="B5:G5"/>
    <mergeCell ref="B6:G9"/>
    <mergeCell ref="B11:G11"/>
    <mergeCell ref="B19:G20"/>
    <mergeCell ref="B22:G22"/>
    <mergeCell ref="B23:G25"/>
    <mergeCell ref="B27:G27"/>
    <mergeCell ref="B28:G34"/>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K36"/>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26"/>
    <col collapsed="false" customWidth="true" hidden="false" outlineLevel="0" max="2" min="2" style="0" width="3"/>
    <col collapsed="false" customWidth="true" hidden="false" outlineLevel="0" max="4" min="3" style="0" width="14"/>
    <col collapsed="false" customWidth="true" hidden="false" outlineLevel="0" max="5" min="5" style="0" width="12"/>
    <col collapsed="false" customWidth="true" hidden="false" outlineLevel="0" max="7" min="6" style="0" width="14"/>
    <col collapsed="false" customWidth="true" hidden="false" outlineLevel="0" max="8" min="8" style="0" width="12"/>
    <col collapsed="false" customWidth="true" hidden="false" outlineLevel="0" max="10" min="9" style="0" width="14"/>
    <col collapsed="false" customWidth="true" hidden="false" outlineLevel="0" max="11" min="11" style="0" width="12"/>
    <col collapsed="false" customWidth="true" hidden="false" outlineLevel="0" max="12" min="12" style="0" width="48"/>
  </cols>
  <sheetData>
    <row r="1" customFormat="false" ht="17.35" hidden="false" customHeight="false" outlineLevel="0" collapsed="false">
      <c r="A1" s="14" t="s">
        <v>29</v>
      </c>
      <c r="B1" s="14"/>
      <c r="C1" s="14"/>
      <c r="D1" s="14"/>
      <c r="E1" s="14"/>
      <c r="F1" s="14"/>
      <c r="G1" s="14"/>
      <c r="H1" s="14"/>
      <c r="I1" s="14"/>
      <c r="J1" s="14"/>
      <c r="K1" s="14"/>
    </row>
    <row r="3" customFormat="false" ht="23.85" hidden="false" customHeight="false" outlineLevel="0" collapsed="false">
      <c r="A3" s="5" t="s">
        <v>5</v>
      </c>
      <c r="B3" s="5"/>
      <c r="C3" s="5" t="s">
        <v>30</v>
      </c>
      <c r="D3" s="5" t="s">
        <v>31</v>
      </c>
      <c r="E3" s="5" t="s">
        <v>32</v>
      </c>
      <c r="F3" s="5" t="s">
        <v>33</v>
      </c>
      <c r="G3" s="5" t="s">
        <v>34</v>
      </c>
      <c r="H3" s="5" t="s">
        <v>35</v>
      </c>
      <c r="I3" s="5" t="s">
        <v>36</v>
      </c>
      <c r="K3" s="5" t="s">
        <v>37</v>
      </c>
    </row>
    <row r="6" customFormat="false" ht="31.5" hidden="false" customHeight="true" outlineLevel="0" collapsed="false">
      <c r="A6" s="15" t="s">
        <v>10</v>
      </c>
      <c r="B6" s="16"/>
      <c r="C6" s="17" t="n">
        <v>101.5</v>
      </c>
      <c r="D6" s="17" t="n">
        <v>204.2</v>
      </c>
      <c r="E6" s="18" t="n">
        <f aca="false">(D6-C6)/C6</f>
        <v>1.01182266009852</v>
      </c>
      <c r="F6" s="19" t="n">
        <v>-0.0637</v>
      </c>
      <c r="G6" s="17" t="n">
        <v>5</v>
      </c>
      <c r="H6" s="17" t="n">
        <v>-23</v>
      </c>
      <c r="I6" s="18" t="n">
        <f aca="false">(H6-G6)/ABS(G6)</f>
        <v>-5.6</v>
      </c>
      <c r="K6" s="20" t="s">
        <v>38</v>
      </c>
    </row>
    <row r="12" customFormat="false" ht="31.5" hidden="false" customHeight="true" outlineLevel="0" collapsed="false">
      <c r="A12" s="15" t="s">
        <v>13</v>
      </c>
      <c r="B12" s="16"/>
      <c r="C12" s="17" t="n">
        <v>160.9</v>
      </c>
      <c r="D12" s="17" t="n">
        <v>173</v>
      </c>
      <c r="E12" s="18" t="n">
        <f aca="false">(D12-C12)/C12</f>
        <v>0.0752019888129273</v>
      </c>
      <c r="F12" s="19" t="n">
        <v>-0.34</v>
      </c>
      <c r="G12" s="17" t="n">
        <v>-103.1</v>
      </c>
      <c r="H12" s="17" t="n">
        <v>-73.2</v>
      </c>
      <c r="I12" s="18" t="n">
        <f aca="false">(H12-G12)/ABS(G12)</f>
        <v>0.290009699321048</v>
      </c>
      <c r="K12" s="20" t="s">
        <v>39</v>
      </c>
    </row>
    <row r="18" customFormat="false" ht="31.5" hidden="false" customHeight="true" outlineLevel="0" collapsed="false">
      <c r="A18" s="15" t="s">
        <v>15</v>
      </c>
      <c r="B18" s="16"/>
      <c r="C18" s="17" t="n">
        <v>245.3</v>
      </c>
      <c r="D18" s="17" t="n">
        <v>223.2</v>
      </c>
      <c r="E18" s="18" t="n">
        <f aca="false">(D18-C18)/C18</f>
        <v>-0.0900937627395027</v>
      </c>
      <c r="F18" s="19" t="n">
        <v>-0.275</v>
      </c>
      <c r="G18" s="17" t="n">
        <v>-56.8</v>
      </c>
      <c r="H18" s="17" t="n">
        <v>-75.5</v>
      </c>
      <c r="I18" s="18" t="n">
        <f aca="false">(H18-G18)/ABS(G18)</f>
        <v>-0.329225352112676</v>
      </c>
      <c r="K18" s="20" t="s">
        <v>40</v>
      </c>
    </row>
    <row r="24" customFormat="false" ht="31.5" hidden="false" customHeight="true" outlineLevel="0" collapsed="false">
      <c r="A24" s="15" t="s">
        <v>41</v>
      </c>
      <c r="B24" s="16"/>
      <c r="C24" s="21" t="s">
        <v>20</v>
      </c>
      <c r="D24" s="17" t="n">
        <v>133.5</v>
      </c>
      <c r="E24" s="21" t="s">
        <v>20</v>
      </c>
      <c r="F24" s="21" t="s">
        <v>20</v>
      </c>
      <c r="G24" s="21" t="s">
        <v>20</v>
      </c>
      <c r="H24" s="21" t="s">
        <v>20</v>
      </c>
      <c r="I24" s="21" t="s">
        <v>20</v>
      </c>
      <c r="K24" s="20" t="s">
        <v>42</v>
      </c>
    </row>
    <row r="30" customFormat="false" ht="31.5" hidden="false" customHeight="true" outlineLevel="0" collapsed="false">
      <c r="A30" s="15" t="s">
        <v>43</v>
      </c>
      <c r="B30" s="16"/>
      <c r="C30" s="17" t="n">
        <v>66.78</v>
      </c>
      <c r="D30" s="17" t="n">
        <v>77.93</v>
      </c>
      <c r="E30" s="18" t="n">
        <f aca="false">(D30-C30)/C30</f>
        <v>0.166966157532195</v>
      </c>
      <c r="F30" s="21" t="s">
        <v>20</v>
      </c>
      <c r="G30" s="21" t="s">
        <v>20</v>
      </c>
      <c r="H30" s="21" t="s">
        <v>20</v>
      </c>
      <c r="I30" s="21" t="s">
        <v>20</v>
      </c>
      <c r="K30" s="20" t="s">
        <v>44</v>
      </c>
    </row>
    <row r="36" customFormat="false" ht="15" hidden="false" customHeight="true" outlineLevel="0" collapsed="false">
      <c r="A36" s="2" t="s">
        <v>45</v>
      </c>
      <c r="B36" s="2"/>
      <c r="C36" s="2"/>
      <c r="D36" s="2"/>
      <c r="E36" s="2"/>
      <c r="F36" s="2"/>
      <c r="G36" s="2"/>
      <c r="H36" s="2"/>
      <c r="I36" s="2"/>
      <c r="J36" s="2"/>
      <c r="K36" s="2"/>
    </row>
  </sheetData>
  <mergeCells count="2">
    <mergeCell ref="A1:K1"/>
    <mergeCell ref="A36:K36"/>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E9"/>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26"/>
    <col collapsed="false" customWidth="true" hidden="false" outlineLevel="0" max="3" min="2" style="0" width="16"/>
    <col collapsed="false" customWidth="true" hidden="false" outlineLevel="0" max="4" min="4" style="0" width="18"/>
    <col collapsed="false" customWidth="true" hidden="false" outlineLevel="0" max="5" min="5" style="0" width="48"/>
  </cols>
  <sheetData>
    <row r="1" customFormat="false" ht="17.35" hidden="false" customHeight="false" outlineLevel="0" collapsed="false">
      <c r="A1" s="14" t="s">
        <v>46</v>
      </c>
      <c r="B1" s="14"/>
      <c r="C1" s="14"/>
      <c r="D1" s="14"/>
      <c r="E1" s="14"/>
    </row>
    <row r="3" customFormat="false" ht="45" hidden="false" customHeight="true" outlineLevel="0" collapsed="false">
      <c r="A3" s="4" t="s">
        <v>47</v>
      </c>
      <c r="B3" s="4"/>
      <c r="C3" s="4"/>
      <c r="D3" s="4"/>
      <c r="E3" s="4"/>
    </row>
    <row r="4" customFormat="false" ht="15" hidden="false" customHeight="false" outlineLevel="0" collapsed="false">
      <c r="A4" s="4"/>
      <c r="B4" s="4"/>
      <c r="C4" s="4"/>
      <c r="D4" s="4"/>
      <c r="E4" s="4"/>
    </row>
    <row r="6" customFormat="false" ht="23.85" hidden="false" customHeight="false" outlineLevel="0" collapsed="false">
      <c r="A6" s="5" t="s">
        <v>5</v>
      </c>
      <c r="B6" s="5" t="s">
        <v>6</v>
      </c>
      <c r="C6" s="5" t="s">
        <v>33</v>
      </c>
      <c r="D6" s="5" t="s">
        <v>48</v>
      </c>
      <c r="E6" s="5" t="s">
        <v>49</v>
      </c>
    </row>
    <row r="7" customFormat="false" ht="54.75" hidden="false" customHeight="true" outlineLevel="0" collapsed="false">
      <c r="A7" s="6" t="s">
        <v>50</v>
      </c>
      <c r="B7" s="7" t="n">
        <f aca="false">'Brand Financials'!E6</f>
        <v>1.01182266009852</v>
      </c>
      <c r="C7" s="7" t="n">
        <f aca="false">'Brand Financials'!F6</f>
        <v>-0.0637</v>
      </c>
      <c r="D7" s="8" t="s">
        <v>12</v>
      </c>
      <c r="E7" s="22" t="s">
        <v>51</v>
      </c>
    </row>
    <row r="8" customFormat="false" ht="54.75" hidden="false" customHeight="true" outlineLevel="0" collapsed="false">
      <c r="A8" s="6" t="s">
        <v>13</v>
      </c>
      <c r="B8" s="7" t="n">
        <f aca="false">'Brand Financials'!E12</f>
        <v>0.0752019888129273</v>
      </c>
      <c r="C8" s="7" t="n">
        <f aca="false">'Brand Financials'!F12</f>
        <v>-0.34</v>
      </c>
      <c r="D8" s="9" t="s">
        <v>14</v>
      </c>
      <c r="E8" s="22" t="s">
        <v>52</v>
      </c>
    </row>
    <row r="9" customFormat="false" ht="54.75" hidden="false" customHeight="true" outlineLevel="0" collapsed="false">
      <c r="A9" s="6" t="s">
        <v>15</v>
      </c>
      <c r="B9" s="7" t="n">
        <f aca="false">'Brand Financials'!E18</f>
        <v>-0.0900937627395027</v>
      </c>
      <c r="C9" s="7" t="n">
        <f aca="false">'Brand Financials'!F18</f>
        <v>-0.275</v>
      </c>
      <c r="D9" s="10" t="s">
        <v>16</v>
      </c>
      <c r="E9" s="22" t="s">
        <v>53</v>
      </c>
    </row>
  </sheetData>
  <mergeCells count="2">
    <mergeCell ref="A1:E1"/>
    <mergeCell ref="A3:E4"/>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E18"/>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16"/>
    <col collapsed="false" customWidth="true" hidden="false" outlineLevel="0" max="4" min="2" style="0" width="14"/>
    <col collapsed="false" customWidth="true" hidden="false" outlineLevel="0" max="5" min="5" style="0" width="55"/>
  </cols>
  <sheetData>
    <row r="1" customFormat="false" ht="17.35" hidden="false" customHeight="false" outlineLevel="0" collapsed="false">
      <c r="A1" s="14" t="s">
        <v>54</v>
      </c>
      <c r="B1" s="14"/>
      <c r="C1" s="14"/>
      <c r="D1" s="14"/>
      <c r="E1" s="14"/>
    </row>
    <row r="3" customFormat="false" ht="45" hidden="false" customHeight="true" outlineLevel="0" collapsed="false">
      <c r="A3" s="4" t="s">
        <v>55</v>
      </c>
      <c r="B3" s="4"/>
      <c r="C3" s="4"/>
      <c r="D3" s="4"/>
      <c r="E3" s="4"/>
    </row>
    <row r="4" customFormat="false" ht="15" hidden="false" customHeight="false" outlineLevel="0" collapsed="false">
      <c r="A4" s="4"/>
      <c r="B4" s="4"/>
      <c r="C4" s="4"/>
      <c r="D4" s="4"/>
      <c r="E4" s="4"/>
    </row>
    <row r="5" customFormat="false" ht="15" hidden="false" customHeight="false" outlineLevel="0" collapsed="false">
      <c r="A5" s="4"/>
      <c r="B5" s="4"/>
      <c r="C5" s="4"/>
      <c r="D5" s="4"/>
      <c r="E5" s="4"/>
    </row>
    <row r="7" customFormat="false" ht="23.85" hidden="false" customHeight="false" outlineLevel="0" collapsed="false">
      <c r="A7" s="5" t="s">
        <v>56</v>
      </c>
      <c r="B7" s="5" t="s">
        <v>57</v>
      </c>
      <c r="C7" s="5" t="s">
        <v>58</v>
      </c>
      <c r="D7" s="5" t="s">
        <v>59</v>
      </c>
      <c r="E7" s="5" t="s">
        <v>60</v>
      </c>
    </row>
    <row r="8" customFormat="false" ht="39.75" hidden="false" customHeight="true" outlineLevel="0" collapsed="false">
      <c r="A8" s="6" t="s">
        <v>61</v>
      </c>
      <c r="B8" s="23" t="n">
        <v>187</v>
      </c>
      <c r="C8" s="23" t="n">
        <v>-62</v>
      </c>
      <c r="D8" s="24" t="n">
        <v>-0.33</v>
      </c>
      <c r="E8" s="22" t="s">
        <v>62</v>
      </c>
    </row>
    <row r="9" customFormat="false" ht="39.75" hidden="false" customHeight="true" outlineLevel="0" collapsed="false">
      <c r="A9" s="6" t="s">
        <v>63</v>
      </c>
      <c r="B9" s="23" t="n">
        <v>242</v>
      </c>
      <c r="C9" s="23" t="n">
        <v>-57</v>
      </c>
      <c r="D9" s="24" t="n">
        <v>-0.237</v>
      </c>
      <c r="E9" s="22" t="s">
        <v>64</v>
      </c>
    </row>
    <row r="10" customFormat="false" ht="39.75" hidden="false" customHeight="true" outlineLevel="0" collapsed="false">
      <c r="A10" s="6" t="s">
        <v>65</v>
      </c>
      <c r="B10" s="23" t="n">
        <v>506</v>
      </c>
      <c r="C10" s="23" t="n">
        <v>-146</v>
      </c>
      <c r="D10" s="24" t="n">
        <v>-0.289</v>
      </c>
      <c r="E10" s="22" t="s">
        <v>66</v>
      </c>
    </row>
    <row r="11" customFormat="false" ht="39.75" hidden="false" customHeight="true" outlineLevel="0" collapsed="false">
      <c r="A11" s="6" t="s">
        <v>67</v>
      </c>
      <c r="B11" s="23" t="n">
        <v>662</v>
      </c>
      <c r="C11" s="23" t="n">
        <v>-182</v>
      </c>
      <c r="D11" s="24" t="n">
        <v>-0.275</v>
      </c>
      <c r="E11" s="22" t="s">
        <v>68</v>
      </c>
    </row>
    <row r="13" customFormat="false" ht="57.45" hidden="false" customHeight="false" outlineLevel="0" collapsed="false">
      <c r="A13" s="25" t="s">
        <v>69</v>
      </c>
      <c r="C13" s="26" t="n">
        <f aca="false">(D9-D8)*100</f>
        <v>9.3</v>
      </c>
    </row>
    <row r="15" customFormat="false" ht="15" hidden="false" customHeight="true" outlineLevel="0" collapsed="false">
      <c r="A15" s="13" t="s">
        <v>70</v>
      </c>
      <c r="B15" s="13"/>
      <c r="C15" s="13"/>
      <c r="D15" s="13"/>
      <c r="E15" s="13"/>
    </row>
    <row r="16" customFormat="false" ht="15" hidden="false" customHeight="false" outlineLevel="0" collapsed="false">
      <c r="A16" s="13"/>
      <c r="B16" s="13"/>
      <c r="C16" s="13"/>
      <c r="D16" s="13"/>
      <c r="E16" s="13"/>
    </row>
    <row r="17" customFormat="false" ht="15" hidden="false" customHeight="false" outlineLevel="0" collapsed="false">
      <c r="A17" s="13"/>
      <c r="B17" s="13"/>
      <c r="C17" s="13"/>
      <c r="D17" s="13"/>
      <c r="E17" s="13"/>
    </row>
    <row r="18" customFormat="false" ht="15" hidden="false" customHeight="false" outlineLevel="0" collapsed="false">
      <c r="A18" s="13"/>
      <c r="B18" s="13"/>
      <c r="C18" s="13"/>
      <c r="D18" s="13"/>
      <c r="E18" s="13"/>
    </row>
  </sheetData>
  <mergeCells count="3">
    <mergeCell ref="A1:E1"/>
    <mergeCell ref="A3:E5"/>
    <mergeCell ref="A15:E18"/>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D12"/>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3" min="1" style="0" width="16"/>
    <col collapsed="false" customWidth="true" hidden="false" outlineLevel="0" max="4" min="4" style="0" width="50"/>
  </cols>
  <sheetData>
    <row r="1" customFormat="false" ht="17.35" hidden="false" customHeight="false" outlineLevel="0" collapsed="false">
      <c r="A1" s="14" t="s">
        <v>71</v>
      </c>
      <c r="B1" s="14"/>
      <c r="C1" s="14"/>
      <c r="D1" s="14"/>
    </row>
    <row r="3" customFormat="false" ht="54.75" hidden="false" customHeight="true" outlineLevel="0" collapsed="false">
      <c r="A3" s="4" t="s">
        <v>72</v>
      </c>
      <c r="B3" s="4"/>
      <c r="C3" s="4"/>
      <c r="D3" s="4"/>
    </row>
    <row r="4" customFormat="false" ht="15" hidden="false" customHeight="false" outlineLevel="0" collapsed="false">
      <c r="A4" s="4"/>
      <c r="B4" s="4"/>
      <c r="C4" s="4"/>
      <c r="D4" s="4"/>
    </row>
    <row r="5" customFormat="false" ht="15" hidden="false" customHeight="false" outlineLevel="0" collapsed="false">
      <c r="A5" s="4"/>
      <c r="B5" s="4"/>
      <c r="C5" s="4"/>
      <c r="D5" s="4"/>
    </row>
    <row r="7" customFormat="false" ht="15" hidden="false" customHeight="false" outlineLevel="0" collapsed="false">
      <c r="A7" s="5" t="s">
        <v>73</v>
      </c>
      <c r="B7" s="5" t="s">
        <v>57</v>
      </c>
      <c r="C7" s="5" t="s">
        <v>32</v>
      </c>
      <c r="D7" s="5" t="s">
        <v>60</v>
      </c>
    </row>
    <row r="8" customFormat="false" ht="15" hidden="false" customHeight="true" outlineLevel="0" collapsed="false">
      <c r="A8" s="6" t="s">
        <v>74</v>
      </c>
      <c r="B8" s="23" t="n">
        <v>66.78</v>
      </c>
      <c r="D8" s="27" t="s">
        <v>75</v>
      </c>
    </row>
    <row r="9" customFormat="false" ht="15" hidden="false" customHeight="false" outlineLevel="0" collapsed="false">
      <c r="A9" s="6" t="s">
        <v>76</v>
      </c>
      <c r="B9" s="23" t="n">
        <v>77.93</v>
      </c>
      <c r="C9" s="28" t="n">
        <f aca="false">(B9-B8)/B8</f>
        <v>0.166966157532195</v>
      </c>
      <c r="D9" s="27"/>
    </row>
    <row r="10" customFormat="false" ht="15" hidden="false" customHeight="false" outlineLevel="0" collapsed="false">
      <c r="A10" s="6" t="s">
        <v>77</v>
      </c>
      <c r="B10" s="23" t="n">
        <v>119.38</v>
      </c>
      <c r="C10" s="28" t="n">
        <f aca="false">(B10-B9)/B9</f>
        <v>0.531887591428205</v>
      </c>
      <c r="D10" s="27"/>
    </row>
    <row r="12" customFormat="false" ht="22.35" hidden="false" customHeight="true" outlineLevel="0" collapsed="false">
      <c r="A12" s="2" t="s">
        <v>78</v>
      </c>
      <c r="B12" s="2"/>
      <c r="C12" s="2"/>
      <c r="D12" s="2"/>
    </row>
  </sheetData>
  <mergeCells count="4">
    <mergeCell ref="A1:D1"/>
    <mergeCell ref="A3:D5"/>
    <mergeCell ref="D8:D10"/>
    <mergeCell ref="A12:D12"/>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D28"/>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42"/>
    <col collapsed="false" customWidth="true" hidden="false" outlineLevel="0" max="2" min="2" style="0" width="16"/>
    <col collapsed="false" customWidth="true" hidden="false" outlineLevel="0" max="3" min="3" style="0" width="3"/>
    <col collapsed="false" customWidth="true" hidden="false" outlineLevel="0" max="4" min="4" style="0" width="45"/>
  </cols>
  <sheetData>
    <row r="1" customFormat="false" ht="17.35" hidden="false" customHeight="false" outlineLevel="0" collapsed="false">
      <c r="A1" s="14" t="s">
        <v>79</v>
      </c>
      <c r="B1" s="14"/>
      <c r="C1" s="14"/>
      <c r="D1" s="14"/>
    </row>
    <row r="3" customFormat="false" ht="84.75" hidden="false" customHeight="true" outlineLevel="0" collapsed="false">
      <c r="A3" s="4" t="s">
        <v>80</v>
      </c>
      <c r="B3" s="4"/>
      <c r="C3" s="4"/>
      <c r="D3" s="4"/>
    </row>
    <row r="4" customFormat="false" ht="15" hidden="false" customHeight="false" outlineLevel="0" collapsed="false">
      <c r="A4" s="4"/>
      <c r="B4" s="4"/>
      <c r="C4" s="4"/>
      <c r="D4" s="4"/>
    </row>
    <row r="5" customFormat="false" ht="15" hidden="false" customHeight="false" outlineLevel="0" collapsed="false">
      <c r="A5" s="4"/>
      <c r="B5" s="4"/>
      <c r="C5" s="4"/>
      <c r="D5" s="4"/>
    </row>
    <row r="6" customFormat="false" ht="15" hidden="false" customHeight="false" outlineLevel="0" collapsed="false">
      <c r="A6" s="4"/>
      <c r="B6" s="4"/>
      <c r="C6" s="4"/>
      <c r="D6" s="4"/>
    </row>
    <row r="9" customFormat="false" ht="15" hidden="false" customHeight="false" outlineLevel="0" collapsed="false">
      <c r="A9" s="3" t="s">
        <v>81</v>
      </c>
      <c r="B9" s="3"/>
      <c r="C9" s="3"/>
      <c r="D9" s="3"/>
    </row>
    <row r="10" customFormat="false" ht="33.75" hidden="false" customHeight="true" outlineLevel="0" collapsed="false">
      <c r="A10" s="29" t="s">
        <v>82</v>
      </c>
      <c r="B10" s="30" t="n">
        <v>65</v>
      </c>
      <c r="D10" s="31" t="s">
        <v>83</v>
      </c>
    </row>
    <row r="11" customFormat="false" ht="33.75" hidden="false" customHeight="true" outlineLevel="0" collapsed="false">
      <c r="A11" s="29" t="s">
        <v>84</v>
      </c>
      <c r="B11" s="30" t="n">
        <v>40</v>
      </c>
      <c r="D11" s="31" t="s">
        <v>85</v>
      </c>
    </row>
    <row r="12" customFormat="false" ht="33.75" hidden="false" customHeight="true" outlineLevel="0" collapsed="false">
      <c r="A12" s="29" t="s">
        <v>86</v>
      </c>
      <c r="B12" s="30" t="n">
        <v>8</v>
      </c>
      <c r="D12" s="31" t="s">
        <v>87</v>
      </c>
    </row>
    <row r="13" customFormat="false" ht="33.75" hidden="false" customHeight="true" outlineLevel="0" collapsed="false">
      <c r="A13" s="29" t="s">
        <v>88</v>
      </c>
      <c r="B13" s="32" t="n">
        <v>-0.0637</v>
      </c>
      <c r="D13" s="31" t="s">
        <v>89</v>
      </c>
    </row>
    <row r="16" customFormat="false" ht="15" hidden="false" customHeight="false" outlineLevel="0" collapsed="false">
      <c r="A16" s="29" t="s">
        <v>90</v>
      </c>
      <c r="B16" s="33" t="n">
        <f aca="false">B10-B11</f>
        <v>25</v>
      </c>
    </row>
    <row r="18" customFormat="false" ht="15" hidden="false" customHeight="false" outlineLevel="0" collapsed="false">
      <c r="A18" s="3" t="s">
        <v>91</v>
      </c>
      <c r="B18" s="3"/>
      <c r="C18" s="3"/>
      <c r="D18" s="3"/>
    </row>
    <row r="19" customFormat="false" ht="31.5" hidden="false" customHeight="true" outlineLevel="0" collapsed="false">
      <c r="A19" s="29" t="s">
        <v>92</v>
      </c>
      <c r="B19" s="34" t="n">
        <f aca="false">B16*B12</f>
        <v>200</v>
      </c>
    </row>
    <row r="20" customFormat="false" ht="31.5" hidden="false" customHeight="true" outlineLevel="0" collapsed="false">
      <c r="A20" s="29" t="s">
        <v>93</v>
      </c>
      <c r="B20" s="34" t="n">
        <f aca="false">B19*B13</f>
        <v>-12.74</v>
      </c>
    </row>
    <row r="21" customFormat="false" ht="31.5" hidden="false" customHeight="true" outlineLevel="0" collapsed="false">
      <c r="A21" s="29" t="s">
        <v>94</v>
      </c>
      <c r="B21" s="34" t="n">
        <f aca="false">B16</f>
        <v>25</v>
      </c>
    </row>
    <row r="22" customFormat="false" ht="31.5" hidden="false" customHeight="true" outlineLevel="0" collapsed="false">
      <c r="A22" s="35" t="s">
        <v>95</v>
      </c>
      <c r="B22" s="36" t="n">
        <f aca="false">B20+B21</f>
        <v>12.26</v>
      </c>
    </row>
    <row r="24" customFormat="false" ht="90" hidden="false" customHeight="true" outlineLevel="0" collapsed="false">
      <c r="A24" s="13" t="s">
        <v>96</v>
      </c>
      <c r="B24" s="13"/>
      <c r="C24" s="13"/>
      <c r="D24" s="13"/>
    </row>
    <row r="25" customFormat="false" ht="15" hidden="false" customHeight="false" outlineLevel="0" collapsed="false">
      <c r="A25" s="13"/>
      <c r="B25" s="13"/>
      <c r="C25" s="13"/>
      <c r="D25" s="13"/>
    </row>
    <row r="26" customFormat="false" ht="15" hidden="false" customHeight="false" outlineLevel="0" collapsed="false">
      <c r="A26" s="13"/>
      <c r="B26" s="13"/>
      <c r="C26" s="13"/>
      <c r="D26" s="13"/>
    </row>
    <row r="27" customFormat="false" ht="15" hidden="false" customHeight="false" outlineLevel="0" collapsed="false">
      <c r="A27" s="13"/>
      <c r="B27" s="13"/>
      <c r="C27" s="13"/>
      <c r="D27" s="13"/>
    </row>
    <row r="28" customFormat="false" ht="15" hidden="false" customHeight="false" outlineLevel="0" collapsed="false">
      <c r="A28" s="13"/>
      <c r="B28" s="13"/>
      <c r="C28" s="13"/>
      <c r="D28" s="13"/>
    </row>
  </sheetData>
  <mergeCells count="5">
    <mergeCell ref="A1:D1"/>
    <mergeCell ref="A3:D6"/>
    <mergeCell ref="A9:D9"/>
    <mergeCell ref="A18:D18"/>
    <mergeCell ref="A24:D28"/>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B7"/>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32"/>
    <col collapsed="false" customWidth="true" hidden="false" outlineLevel="0" max="2" min="2" style="0" width="80"/>
  </cols>
  <sheetData>
    <row r="1" customFormat="false" ht="15" hidden="false" customHeight="false" outlineLevel="0" collapsed="false">
      <c r="A1" s="5" t="s">
        <v>37</v>
      </c>
      <c r="B1" s="5" t="s">
        <v>97</v>
      </c>
    </row>
    <row r="2" customFormat="false" ht="54.75" hidden="false" customHeight="true" outlineLevel="0" collapsed="false">
      <c r="A2" s="37" t="s">
        <v>98</v>
      </c>
      <c r="B2" s="38" t="s">
        <v>99</v>
      </c>
    </row>
    <row r="3" customFormat="false" ht="54.75" hidden="false" customHeight="true" outlineLevel="0" collapsed="false">
      <c r="A3" s="37" t="s">
        <v>100</v>
      </c>
      <c r="B3" s="38" t="s">
        <v>101</v>
      </c>
    </row>
    <row r="4" customFormat="false" ht="54.75" hidden="false" customHeight="true" outlineLevel="0" collapsed="false">
      <c r="A4" s="37" t="s">
        <v>102</v>
      </c>
      <c r="B4" s="38" t="s">
        <v>103</v>
      </c>
    </row>
    <row r="5" customFormat="false" ht="54.75" hidden="false" customHeight="true" outlineLevel="0" collapsed="false">
      <c r="A5" s="37" t="s">
        <v>104</v>
      </c>
      <c r="B5" s="38" t="s">
        <v>105</v>
      </c>
    </row>
    <row r="6" customFormat="false" ht="54.75" hidden="false" customHeight="true" outlineLevel="0" collapsed="false">
      <c r="A6" s="37" t="s">
        <v>106</v>
      </c>
      <c r="B6" s="38" t="s">
        <v>107</v>
      </c>
    </row>
    <row r="7" customFormat="false" ht="54.75" hidden="false" customHeight="true" outlineLevel="0" collapsed="false">
      <c r="A7" s="37" t="s">
        <v>108</v>
      </c>
      <c r="B7" s="38" t="s">
        <v>109</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docProps/app.xml><?xml version="1.0" encoding="utf-8"?>
<Properties xmlns="http://schemas.openxmlformats.org/officeDocument/2006/extended-properties" xmlns:vt="http://schemas.openxmlformats.org/officeDocument/2006/docPropsVTypes">
  <Template/>
  <TotalTime>0</TotalTime>
  <Application>LibreOffice/24.2.7.2$Linux_X86_64 LibreOffice_project/420$Build-2</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2026-09-20T16:44:00Z</dcterms:created>
  <dc:creator>openpyxl</dc:creator>
  <dc:description/>
  <dc:language>en-US</dc:language>
  <cp:lastModifiedBy/>
  <dcterms:modified xsi:type="dcterms:W3CDTF">2026-09-20T16:44:00Z</dcterms:modified>
  <cp:revision>0</cp:revision>
  <dc:subject/>
  <dc:title/>
</cp:coreProperties>
</file>

<file path=docProps/custom.xml><?xml version="1.0" encoding="utf-8"?>
<Properties xmlns="http://schemas.openxmlformats.org/officeDocument/2006/custom-properties" xmlns:vt="http://schemas.openxmlformats.org/officeDocument/2006/docPropsVTypes"/>
</file>